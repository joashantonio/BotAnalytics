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JT\Sindbadtech\Sindbad.Tech_Projects\Document Work\"/>
    </mc:Choice>
  </mc:AlternateContent>
  <xr:revisionPtr revIDLastSave="0" documentId="13_ncr:1_{0821F31C-9C71-48B6-B0A8-907742EA2B05}" xr6:coauthVersionLast="47" xr6:coauthVersionMax="47" xr10:uidLastSave="{00000000-0000-0000-0000-000000000000}"/>
  <bookViews>
    <workbookView xWindow="-120" yWindow="-120" windowWidth="29040" windowHeight="15720" firstSheet="2" activeTab="8" xr2:uid="{B94EDE04-A85E-4754-A2B3-F1368B58470B}"/>
  </bookViews>
  <sheets>
    <sheet name="transaction-data Aljad bears El" sheetId="1" r:id="rId1"/>
    <sheet name="901" sheetId="2" r:id="rId2"/>
    <sheet name="907" sheetId="3" r:id="rId3"/>
    <sheet name="900" sheetId="4" r:id="rId4"/>
    <sheet name="897" sheetId="5" r:id="rId5"/>
    <sheet name="920" sheetId="8" r:id="rId6"/>
    <sheet name="936" sheetId="6" r:id="rId7"/>
    <sheet name="895" sheetId="7" r:id="rId8"/>
    <sheet name="919" sheetId="9" r:id="rId9"/>
    <sheet name="925" sheetId="10" r:id="rId10"/>
    <sheet name="933" sheetId="11" r:id="rId11"/>
    <sheet name="896" sheetId="12" r:id="rId12"/>
    <sheet name="927" sheetId="13" r:id="rId13"/>
    <sheet name="910" sheetId="14" r:id="rId14"/>
    <sheet name="914" sheetId="15" r:id="rId15"/>
    <sheet name="911" sheetId="16" r:id="rId16"/>
    <sheet name="917" sheetId="17" r:id="rId17"/>
    <sheet name="904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8" l="1"/>
  <c r="AD2" i="18"/>
  <c r="AC2" i="18"/>
  <c r="AB2" i="18"/>
  <c r="AA2" i="18"/>
  <c r="Z2" i="18"/>
  <c r="Y2" i="18"/>
  <c r="V3" i="18"/>
  <c r="T3" i="18"/>
  <c r="R3" i="18"/>
  <c r="AE2" i="17"/>
  <c r="AD2" i="17"/>
  <c r="AC2" i="17"/>
  <c r="AB2" i="17"/>
  <c r="AA2" i="17"/>
  <c r="Z2" i="17"/>
  <c r="Y2" i="17"/>
  <c r="V3" i="17"/>
  <c r="T3" i="17"/>
  <c r="R3" i="17"/>
  <c r="AE2" i="16"/>
  <c r="AD2" i="16"/>
  <c r="AC2" i="16"/>
  <c r="AB2" i="16"/>
  <c r="AA2" i="16"/>
  <c r="Z2" i="16"/>
  <c r="Y2" i="16"/>
  <c r="V3" i="16"/>
  <c r="T3" i="16"/>
  <c r="R3" i="16"/>
  <c r="AE2" i="15"/>
  <c r="AD2" i="15"/>
  <c r="AC2" i="15"/>
  <c r="AB2" i="15"/>
  <c r="AA2" i="15"/>
  <c r="Z2" i="15"/>
  <c r="Y2" i="15"/>
  <c r="V2" i="15"/>
  <c r="T2" i="15"/>
  <c r="R2" i="15"/>
  <c r="AE2" i="14"/>
  <c r="AD2" i="14"/>
  <c r="AC2" i="14"/>
  <c r="AB2" i="14"/>
  <c r="AA2" i="14"/>
  <c r="Z2" i="14"/>
  <c r="Y2" i="14"/>
  <c r="V3" i="14"/>
  <c r="T3" i="14"/>
  <c r="R3" i="14"/>
  <c r="AE2" i="13"/>
  <c r="AD2" i="13"/>
  <c r="AC2" i="13"/>
  <c r="AB2" i="13"/>
  <c r="AA2" i="13"/>
  <c r="Z2" i="13"/>
  <c r="Y2" i="13"/>
  <c r="V2" i="13"/>
  <c r="T2" i="13"/>
  <c r="R2" i="13"/>
  <c r="AE2" i="12"/>
  <c r="AD2" i="12"/>
  <c r="AC2" i="12"/>
  <c r="AB2" i="12"/>
  <c r="AA2" i="12"/>
  <c r="Z2" i="12"/>
  <c r="Y2" i="12"/>
  <c r="V2" i="12"/>
  <c r="T2" i="12"/>
  <c r="R2" i="12"/>
  <c r="AE2" i="11"/>
  <c r="AD2" i="11"/>
  <c r="AC2" i="11"/>
  <c r="AB2" i="11"/>
  <c r="AA2" i="11"/>
  <c r="Z2" i="11"/>
  <c r="Y2" i="11"/>
  <c r="V3" i="11"/>
  <c r="U2" i="11"/>
  <c r="T3" i="11"/>
  <c r="S2" i="11"/>
  <c r="R3" i="11"/>
  <c r="Q2" i="11"/>
  <c r="AE2" i="10"/>
  <c r="AD2" i="10"/>
  <c r="AC2" i="10"/>
  <c r="AB2" i="10"/>
  <c r="AA2" i="10"/>
  <c r="Z2" i="10"/>
  <c r="Y2" i="10"/>
  <c r="V3" i="10"/>
  <c r="U2" i="10"/>
  <c r="T3" i="10"/>
  <c r="S2" i="10"/>
  <c r="R3" i="10"/>
  <c r="Q2" i="10"/>
  <c r="AE2" i="9"/>
  <c r="AD2" i="9"/>
  <c r="AC2" i="9"/>
  <c r="AB2" i="9"/>
  <c r="AA2" i="9"/>
  <c r="Z2" i="9"/>
  <c r="Y2" i="9"/>
  <c r="V2" i="9"/>
  <c r="T2" i="9"/>
  <c r="R2" i="9"/>
  <c r="AE2" i="8"/>
  <c r="AD2" i="8"/>
  <c r="AC2" i="8"/>
  <c r="AB2" i="8"/>
  <c r="AA2" i="8"/>
  <c r="Z2" i="8"/>
  <c r="Y2" i="8"/>
  <c r="V2" i="8"/>
  <c r="T2" i="8"/>
  <c r="R2" i="8"/>
  <c r="AE2" i="7"/>
  <c r="AD2" i="7"/>
  <c r="AC2" i="7"/>
  <c r="AB2" i="7"/>
  <c r="AA2" i="7"/>
  <c r="Z2" i="7"/>
  <c r="Y2" i="7"/>
  <c r="V2" i="7"/>
  <c r="T2" i="7"/>
  <c r="R2" i="7"/>
  <c r="AE2" i="6"/>
  <c r="AD2" i="6"/>
  <c r="AC2" i="6"/>
  <c r="AB2" i="6"/>
  <c r="AA2" i="6"/>
  <c r="Z2" i="6"/>
  <c r="Y2" i="6"/>
  <c r="AE2" i="5"/>
  <c r="AD2" i="5"/>
  <c r="AC2" i="5"/>
  <c r="AB2" i="5"/>
  <c r="AA2" i="5"/>
  <c r="Z2" i="5"/>
  <c r="Y2" i="5"/>
  <c r="V3" i="5"/>
  <c r="T3" i="5"/>
  <c r="R3" i="5"/>
  <c r="AE2" i="4"/>
  <c r="AD2" i="4"/>
  <c r="AC2" i="4"/>
  <c r="AB2" i="4"/>
  <c r="AA2" i="4"/>
  <c r="Z2" i="4"/>
  <c r="Y2" i="4"/>
  <c r="V3" i="4"/>
  <c r="T3" i="4"/>
  <c r="R3" i="4"/>
  <c r="AE2" i="3"/>
  <c r="AD2" i="3"/>
  <c r="AC2" i="3"/>
  <c r="AB2" i="3"/>
  <c r="AA2" i="3"/>
  <c r="Z2" i="3"/>
  <c r="Y2" i="3"/>
  <c r="U3" i="3"/>
  <c r="V5" i="3"/>
  <c r="S3" i="3"/>
  <c r="Q3" i="3"/>
  <c r="T5" i="3"/>
  <c r="R5" i="3"/>
  <c r="AE2" i="2"/>
  <c r="AD2" i="2"/>
  <c r="AC2" i="2"/>
  <c r="AB2" i="2"/>
  <c r="AA2" i="2"/>
  <c r="Z2" i="2"/>
  <c r="Y2" i="2"/>
  <c r="V2" i="6"/>
  <c r="T2" i="6"/>
  <c r="R2" i="6"/>
  <c r="T2" i="2"/>
  <c r="V2" i="2" s="1"/>
  <c r="R2" i="2"/>
</calcChain>
</file>

<file path=xl/sharedStrings.xml><?xml version="1.0" encoding="utf-8"?>
<sst xmlns="http://schemas.openxmlformats.org/spreadsheetml/2006/main" count="1383" uniqueCount="243">
  <si>
    <t>Order ID</t>
  </si>
  <si>
    <t>Trade</t>
  </si>
  <si>
    <t>Symbol</t>
  </si>
  <si>
    <t>Bot</t>
  </si>
  <si>
    <t>Signal Date</t>
  </si>
  <si>
    <t>Signal Price</t>
  </si>
  <si>
    <t>Side</t>
  </si>
  <si>
    <t>Execution Date</t>
  </si>
  <si>
    <t>Execution Price</t>
  </si>
  <si>
    <t>Quantity</t>
  </si>
  <si>
    <t>Capital Available</t>
  </si>
  <si>
    <t>Profit Value</t>
  </si>
  <si>
    <t>Profit %</t>
  </si>
  <si>
    <t>Cost</t>
  </si>
  <si>
    <t>Filled</t>
  </si>
  <si>
    <t>Operation Setting</t>
  </si>
  <si>
    <t>Bears Bot Booster</t>
  </si>
  <si>
    <t>2026-05-13T14:02:11.583759+03:00</t>
  </si>
  <si>
    <t>2026-05-13T14:10:00.858034+03:00</t>
  </si>
  <si>
    <t>AI</t>
  </si>
  <si>
    <t>2026-05-12T14:02:35.392453+03:00</t>
  </si>
  <si>
    <t>2026-05-12T14:10:00.800799+03:00</t>
  </si>
  <si>
    <t>2026-05-11T14:03:26.676802+03:00</t>
  </si>
  <si>
    <t>2026-05-11T14:09:58.601533+03:00</t>
  </si>
  <si>
    <t>2026-05-21T15:31:36.657900+03:00</t>
  </si>
  <si>
    <t>2026-05-21T15:47:06.963268+03:00</t>
  </si>
  <si>
    <t>2026-05-20T14:03:39.344460+03:00</t>
  </si>
  <si>
    <t>2026-05-20T16:14:20.633425+03:00</t>
  </si>
  <si>
    <t>2026-05-19T14:02:53.222934+03:00</t>
  </si>
  <si>
    <t>2026-05-19T14:14:01.609144+03:00</t>
  </si>
  <si>
    <t>2026-05-18T14:02:52.799831+03:00</t>
  </si>
  <si>
    <t>2026-05-18T14:13:01.433047+03:00</t>
  </si>
  <si>
    <t>2026-05-17T14:02:55.710260+03:00</t>
  </si>
  <si>
    <t>2026-05-17T14:13:01.436523+03:00</t>
  </si>
  <si>
    <t>2026-05-14T14:03:08.142822+03:00</t>
  </si>
  <si>
    <t>2026-05-14T14:24:58.103316+03:00</t>
  </si>
  <si>
    <t>2026-05-13T14:02:47.938091+03:00</t>
  </si>
  <si>
    <t>2026-05-13T14:18:00.803523+03:00</t>
  </si>
  <si>
    <t>2026-05-12T14:03:06.030871+03:00</t>
  </si>
  <si>
    <t>2026-05-12T14:20:00.662098+03:00</t>
  </si>
  <si>
    <t>2026-05-11T14:04:38.678041+03:00</t>
  </si>
  <si>
    <t>2026-05-11T14:15:58.584408+03:00</t>
  </si>
  <si>
    <t>2026-05-21T15:31:05.323061+03:00</t>
  </si>
  <si>
    <t>2026-05-21T15:46:19.206011+03:00</t>
  </si>
  <si>
    <t>2026-05-20T14:03:05.549506+03:00</t>
  </si>
  <si>
    <t>2026-05-20T16:06:20.362344+03:00</t>
  </si>
  <si>
    <t>2026-05-19T14:02:11.618094+03:00</t>
  </si>
  <si>
    <t>2026-05-19T14:09:01.622302+03:00</t>
  </si>
  <si>
    <t>2026-05-14T14:02:35.146396+03:00</t>
  </si>
  <si>
    <t>2026-05-14T14:09:00.984837+03:00</t>
  </si>
  <si>
    <t>2026-05-13T14:02:09.426586+03:00</t>
  </si>
  <si>
    <t>2026-05-13T14:09:00.835121+03:00</t>
  </si>
  <si>
    <t>2026-05-12T14:02:33.480841+03:00</t>
  </si>
  <si>
    <t>2026-05-12T14:09:00.616938+03:00</t>
  </si>
  <si>
    <t>2026-05-11T14:03:17.705011+03:00</t>
  </si>
  <si>
    <t>2026-05-11T14:08:58.557464+03:00</t>
  </si>
  <si>
    <t>2026-05-21T15:31:00.340542+03:00</t>
  </si>
  <si>
    <t>2026-05-21T15:46:14.679951+03:00</t>
  </si>
  <si>
    <t>2026-05-20T14:02:59.454317+03:00</t>
  </si>
  <si>
    <t>2026-05-20T16:05:20.595027+03:00</t>
  </si>
  <si>
    <t>2026-05-19T14:02:05.130773+03:00</t>
  </si>
  <si>
    <t>2026-05-19T14:07:01.558726+03:00</t>
  </si>
  <si>
    <t>2026-05-18T14:02:14.939697+03:00</t>
  </si>
  <si>
    <t>2026-05-18T14:07:01.526908+03:00</t>
  </si>
  <si>
    <t>2026-05-17T14:02:02.046593+03:00</t>
  </si>
  <si>
    <t>2026-05-17T14:07:01.427674+03:00</t>
  </si>
  <si>
    <t>2026-05-14T14:02:29.262944+03:00</t>
  </si>
  <si>
    <t>2026-05-14T14:06:01.003768+03:00</t>
  </si>
  <si>
    <t>2026-05-13T14:02:03.360890+03:00</t>
  </si>
  <si>
    <t>2026-05-13T14:07:00.866410+03:00</t>
  </si>
  <si>
    <t>2026-05-12T14:02:28.268036+03:00</t>
  </si>
  <si>
    <t>2026-05-12T14:07:00.647741+03:00</t>
  </si>
  <si>
    <t>2026-05-11T14:03:07.077785+03:00</t>
  </si>
  <si>
    <t>2026-05-11T14:06:58.566346+03:00</t>
  </si>
  <si>
    <t>2026-05-20T14:02:44.332341+03:00</t>
  </si>
  <si>
    <t>2026-05-20T16:02:20.502413+03:00</t>
  </si>
  <si>
    <t>2026-05-19T14:01:49.871221+03:00</t>
  </si>
  <si>
    <t>2026-05-19T14:04:01.497924+03:00</t>
  </si>
  <si>
    <t>2026-05-18T14:02:03.000031+03:00</t>
  </si>
  <si>
    <t>2026-05-18T14:04:01.424750+03:00</t>
  </si>
  <si>
    <t>2026-05-17T14:01:48.424058+03:00</t>
  </si>
  <si>
    <t>2026-05-17T14:04:01.356260+03:00</t>
  </si>
  <si>
    <t>2026-05-20T14:02:42.586764+03:00</t>
  </si>
  <si>
    <t>2026-05-20T16:01:20.753635+03:00</t>
  </si>
  <si>
    <t>2026-05-19T14:01:47.922461+03:00</t>
  </si>
  <si>
    <t>2026-05-19T14:03:01.549026+03:00</t>
  </si>
  <si>
    <t>2026-05-18T14:02:01.088382+03:00</t>
  </si>
  <si>
    <t>2026-05-18T14:03:01.443842+03:00</t>
  </si>
  <si>
    <t>2026-05-17T14:01:46.746884+03:00</t>
  </si>
  <si>
    <t>2026-05-17T14:03:01.312217+03:00</t>
  </si>
  <si>
    <t>2026-05-14T14:02:10.166298+03:00</t>
  </si>
  <si>
    <t>2026-05-14T14:03:00.918120+03:00</t>
  </si>
  <si>
    <t>2026-05-13T14:01:43.263442+03:00</t>
  </si>
  <si>
    <t>2026-05-13T14:04:00.868738+03:00</t>
  </si>
  <si>
    <t>2026-05-12T14:02:13.540710+03:00</t>
  </si>
  <si>
    <t>2026-05-12T14:04:00.768523+03:00</t>
  </si>
  <si>
    <t>2026-05-11T14:02:30.445330+03:00</t>
  </si>
  <si>
    <t>2026-05-11T14:03:58.799768+03:00</t>
  </si>
  <si>
    <t>2026-05-14T14:02:40.525774+03:00</t>
  </si>
  <si>
    <t>2026-05-14T14:10:00.944294+03:00</t>
  </si>
  <si>
    <t>2026-05-13T14:02:15.975655+03:00</t>
  </si>
  <si>
    <t>2026-05-13T14:11:00.848928+03:00</t>
  </si>
  <si>
    <t>2026-05-12T14:02:39.159923+03:00</t>
  </si>
  <si>
    <t>2026-05-12T14:11:00.728858+03:00</t>
  </si>
  <si>
    <t>2026-05-20T14:02:54.086676+03:00</t>
  </si>
  <si>
    <t>2026-05-20T16:04:20.923221+03:00</t>
  </si>
  <si>
    <t>2026-05-19T14:01:59.607672+03:00</t>
  </si>
  <si>
    <t>2026-05-19T14:06:01.562336+03:00</t>
  </si>
  <si>
    <t>2026-05-18T14:02:10.555111+03:00</t>
  </si>
  <si>
    <t>2026-05-18T14:06:01.441198+03:00</t>
  </si>
  <si>
    <t>2026-05-17T14:01:56.087375+03:00</t>
  </si>
  <si>
    <t>2026-05-17T14:06:01.347709+03:00</t>
  </si>
  <si>
    <t>2026-05-14T14:02:23.416457+03:00</t>
  </si>
  <si>
    <t>2026-05-14T14:14:57.421753+03:00</t>
  </si>
  <si>
    <t>2026-05-13T14:01:57.306835+03:00</t>
  </si>
  <si>
    <t>2026-05-13T14:06:00.822627+03:00</t>
  </si>
  <si>
    <t>2026-05-12T14:02:23.263062+03:00</t>
  </si>
  <si>
    <t>2026-05-12T14:06:00.773824+03:00</t>
  </si>
  <si>
    <t>2026-05-20T14:03:18.288710+03:00</t>
  </si>
  <si>
    <t>2026-05-20T16:10:20.377217+03:00</t>
  </si>
  <si>
    <t>2026-05-13T14:02:23.950351+03:00</t>
  </si>
  <si>
    <t>2026-05-13T14:12:00.821440+03:00</t>
  </si>
  <si>
    <t>2026-05-12T14:02:45.963620+03:00</t>
  </si>
  <si>
    <t>2026-05-12T14:14:00.774942+03:00</t>
  </si>
  <si>
    <t>2026-05-19T14:02:08.972038+03:00</t>
  </si>
  <si>
    <t>2026-05-19T14:08:01.530379+03:00</t>
  </si>
  <si>
    <t>2026-05-18T14:02:18.369097+03:00</t>
  </si>
  <si>
    <t>2026-05-18T14:08:01.464743+03:00</t>
  </si>
  <si>
    <t>2026-05-14T14:02:32.802252+03:00</t>
  </si>
  <si>
    <t>2026-05-14T14:07:00.960544+03:00</t>
  </si>
  <si>
    <t>2026-05-20T14:02:45.727700+03:00</t>
  </si>
  <si>
    <t>2026-05-20T16:03:20.960830+03:00</t>
  </si>
  <si>
    <t>2026-05-19T14:01:51.112840+03:00</t>
  </si>
  <si>
    <t>2026-05-19T14:05:01.551510+03:00</t>
  </si>
  <si>
    <t>2026-05-18T14:02:04.329137+03:00</t>
  </si>
  <si>
    <t>2026-05-18T14:05:01.530300+03:00</t>
  </si>
  <si>
    <t>2026-05-17T14:01:49.592515+03:00</t>
  </si>
  <si>
    <t>2026-05-17T14:05:01.471776+03:00</t>
  </si>
  <si>
    <t>2026-05-14T14:02:13.214509+03:00</t>
  </si>
  <si>
    <t>2026-05-14T14:04:01.005585+03:00</t>
  </si>
  <si>
    <t>2026-05-13T14:01:47.064137+03:00</t>
  </si>
  <si>
    <t>2026-05-13T14:05:00.954586+03:00</t>
  </si>
  <si>
    <t>2026-05-12T14:02:16.405432+03:00</t>
  </si>
  <si>
    <t>2026-05-12T14:05:00.728691+03:00</t>
  </si>
  <si>
    <t>2026-05-11T14:02:33.417293+03:00</t>
  </si>
  <si>
    <t>2026-05-11T14:04:58.546098+03:00</t>
  </si>
  <si>
    <t>2026-05-17T14:02:57.243255+03:00</t>
  </si>
  <si>
    <t>2026-05-17T14:14:01.352571+03:00</t>
  </si>
  <si>
    <t>2026-05-13T14:02:49.685319+03:00</t>
  </si>
  <si>
    <t>2026-05-13T14:19:00.780001+03:00</t>
  </si>
  <si>
    <t>2026-05-12T14:03:07.386329+03:00</t>
  </si>
  <si>
    <t>2026-05-12T14:21:00.657453+03:00</t>
  </si>
  <si>
    <t>2026-05-21T15:31:45.387877+03:00</t>
  </si>
  <si>
    <t>2026-05-21T15:50:07.254941+03:00</t>
  </si>
  <si>
    <t>2026-05-20T14:03:47.434285+03:00</t>
  </si>
  <si>
    <t>2026-05-20T16:15:20.778511+03:00</t>
  </si>
  <si>
    <t>2026-05-19T14:03:01.943158+03:00</t>
  </si>
  <si>
    <t>2026-05-19T14:15:01.635321+03:00</t>
  </si>
  <si>
    <t>2026-05-18T14:03:00.772624+03:00</t>
  </si>
  <si>
    <t>2026-05-18T14:16:01.424689+03:00</t>
  </si>
  <si>
    <t>2026-05-17T14:03:04.063229+03:00</t>
  </si>
  <si>
    <t>2026-05-17T14:15:01.365013+03:00</t>
  </si>
  <si>
    <t>2026-05-14T14:03:16.676551+03:00</t>
  </si>
  <si>
    <t>2026-05-14T14:19:00.981307+03:00</t>
  </si>
  <si>
    <t>2026-05-13T14:02:58.067074+03:00</t>
  </si>
  <si>
    <t>2026-05-13T14:21:00.808185+03:00</t>
  </si>
  <si>
    <t>2026-05-12T14:03:14.516737+03:00</t>
  </si>
  <si>
    <t>2026-05-12T14:25:01.577368+03:00</t>
  </si>
  <si>
    <t>2026-05-11T14:04:51.479734+03:00</t>
  </si>
  <si>
    <t>2026-05-11T14:17:58.523416+03:00</t>
  </si>
  <si>
    <t>2026-05-18T14:03:04.297788+03:00</t>
  </si>
  <si>
    <t>2026-05-18T14:18:01.446337+03:00</t>
  </si>
  <si>
    <t>2026-05-17T14:03:07.868679+03:00</t>
  </si>
  <si>
    <t>2026-05-17T14:18:01.372423+03:00</t>
  </si>
  <si>
    <t>2026-05-11T14:04:55.271586+03:00</t>
  </si>
  <si>
    <t>2026-05-11T14:20:58.562580+03:00</t>
  </si>
  <si>
    <t>2026-05-21T15:31:48.466898+03:00</t>
  </si>
  <si>
    <t>2026-05-21T15:51:07.058042+03:00</t>
  </si>
  <si>
    <t>2026-05-19T14:03:04.873251+03:00</t>
  </si>
  <si>
    <t>2026-05-19T14:16:01.572755+03:00</t>
  </si>
  <si>
    <t>2026-05-18T14:03:03.223147+03:00</t>
  </si>
  <si>
    <t>2026-05-18T14:17:01.636183+03:00</t>
  </si>
  <si>
    <t>2026-05-17T14:03:06.372562+03:00</t>
  </si>
  <si>
    <t>2026-05-17T14:16:01.333170+03:00</t>
  </si>
  <si>
    <t>2026-05-14T14:03:19.001126+03:00</t>
  </si>
  <si>
    <t>2026-05-14T14:20:00.922036+03:00</t>
  </si>
  <si>
    <t>2026-05-13T14:03:01.010010+03:00</t>
  </si>
  <si>
    <t>2026-05-13T14:22:00.849794+03:00</t>
  </si>
  <si>
    <t>2026-05-12T14:03:17.020379+03:00</t>
  </si>
  <si>
    <t>2026-05-12T14:24:00.792270+03:00</t>
  </si>
  <si>
    <t>2026-05-11T14:04:53.993662+03:00</t>
  </si>
  <si>
    <t>2026-05-11T14:18:58.510260+03:00</t>
  </si>
  <si>
    <t>2026-05-21T15:31:52.892335+03:00</t>
  </si>
  <si>
    <t>2026-05-21T15:52:07.331763+03:00</t>
  </si>
  <si>
    <t>2026-05-20T14:03:55.321358+03:00</t>
  </si>
  <si>
    <t>2026-05-20T16:17:20.977948+03:00</t>
  </si>
  <si>
    <t>2026-05-19T14:03:11.449424+03:00</t>
  </si>
  <si>
    <t>2026-05-19T14:17:01.601258+03:00</t>
  </si>
  <si>
    <t>2026-05-18T14:03:08.229378+03:00</t>
  </si>
  <si>
    <t>2026-05-18T14:19:01.477650+03:00</t>
  </si>
  <si>
    <t>2026-05-17T14:03:12.034763+03:00</t>
  </si>
  <si>
    <t>2026-05-17T14:20:01.396772+03:00</t>
  </si>
  <si>
    <t>2026-05-14T14:03:24.417064+03:00</t>
  </si>
  <si>
    <t>2026-05-14T14:23:01.089669+03:00</t>
  </si>
  <si>
    <t>2026-05-13T14:03:08.023933+03:00</t>
  </si>
  <si>
    <t>2026-05-13T14:25:00.946482+03:00</t>
  </si>
  <si>
    <t>2026-05-12T14:03:22.531219+03:00</t>
  </si>
  <si>
    <t>2026-05-12T14:27:00.654753+03:00</t>
  </si>
  <si>
    <t>2026-05-11T14:04:59.918038+03:00</t>
  </si>
  <si>
    <t>2026-05-11T14:22:58.572195+03:00</t>
  </si>
  <si>
    <t>2026-05-21T15:31:23.566313+03:00</t>
  </si>
  <si>
    <t>2026-05-21T15:46:20.377458+03:00</t>
  </si>
  <si>
    <t>2026-05-20T14:03:25.279483+03:00</t>
  </si>
  <si>
    <t>2026-05-20T16:11:27.233860+03:00</t>
  </si>
  <si>
    <t>2026-05-19T14:02:38.251571+03:00</t>
  </si>
  <si>
    <t>2026-05-19T14:11:01.631638+03:00</t>
  </si>
  <si>
    <t>2026-05-18T14:02:39.840570+03:00</t>
  </si>
  <si>
    <t>2026-05-18T14:10:01.481481+03:00</t>
  </si>
  <si>
    <t>2026-05-17T14:02:42.059446+03:00</t>
  </si>
  <si>
    <t>2026-05-17T14:11:01.415193+03:00</t>
  </si>
  <si>
    <t>2026-05-14T14:02:54.327641+03:00</t>
  </si>
  <si>
    <t>2026-05-14T14:13:01.033917+03:00</t>
  </si>
  <si>
    <t>2026-05-13T14:02:31.929864+03:00</t>
  </si>
  <si>
    <t>2026-05-13T14:15:00.879880+03:00</t>
  </si>
  <si>
    <t>2026-05-12T14:02:52.564091+03:00</t>
  </si>
  <si>
    <t>2026-05-12T14:24:58.671317+03:00</t>
  </si>
  <si>
    <t>2026-05-11T14:04:19.304153+03:00</t>
  </si>
  <si>
    <t>2026-05-11T14:12:58.554379+03:00</t>
  </si>
  <si>
    <t>Total Quantity (SELL)</t>
  </si>
  <si>
    <t>Total Quantity (BUY)</t>
  </si>
  <si>
    <t>Total Cost (SELL)</t>
  </si>
  <si>
    <t>Total Cost (BUY)</t>
  </si>
  <si>
    <t>Average Sell</t>
  </si>
  <si>
    <t>Average Buy</t>
  </si>
  <si>
    <t>Upper</t>
  </si>
  <si>
    <t>Lower</t>
  </si>
  <si>
    <t>Middle</t>
  </si>
  <si>
    <t>First Quartile</t>
  </si>
  <si>
    <t>Second Quartile</t>
  </si>
  <si>
    <t>Third Quartile</t>
  </si>
  <si>
    <t>Fourth Quartile</t>
  </si>
  <si>
    <t>Quartile Step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</si>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</sst>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33" borderId="10" xfId="0" applyNumberFormat="1" applyFill="1" applyBorder="1"/>
    <xf numFmtId="0" fontId="0" fillId="33" borderId="10" xfId="0" applyFill="1" applyBorder="1"/>
    <xf numFmtId="11" fontId="0" fillId="34" borderId="10" xfId="0" applyNumberFormat="1" applyFill="1" applyBorder="1"/>
    <xf numFmtId="0" fontId="0" fillId="34" borderId="10" xfId="0" applyFill="1" applyBorder="1"/>
    <xf numFmtId="0" fontId="0" fillId="0" borderId="0" xfId="0" applyAlignment="1">
      <alignment horizontal="center"/>
    </xf>
    <xf numFmtId="11" fontId="0" fillId="33" borderId="1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11" fontId="0" fillId="34" borderId="10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A216-E25E-4A07-AC53-EEEF9F2ECB36}">
  <dimension ref="A1:P106"/>
  <sheetViews>
    <sheetView topLeftCell="A58" workbookViewId="0">
      <selection activeCell="F76" sqref="F76"/>
    </sheetView>
  </sheetViews>
  <sheetFormatPr defaultRowHeight="15" x14ac:dyDescent="0.25"/>
  <cols>
    <col min="1" max="1" width="8.5703125" bestFit="1" customWidth="1"/>
    <col min="2" max="2" width="6" bestFit="1" customWidth="1"/>
    <col min="3" max="3" width="7.42578125" bestFit="1" customWidth="1"/>
    <col min="4" max="4" width="16.5703125" bestFit="1" customWidth="1"/>
    <col min="5" max="5" width="31.42578125" bestFit="1" customWidth="1"/>
    <col min="6" max="6" width="11.28515625" bestFit="1" customWidth="1"/>
    <col min="7" max="7" width="4.7109375" bestFit="1" customWidth="1"/>
    <col min="8" max="8" width="31.42578125" bestFit="1" customWidth="1"/>
    <col min="9" max="9" width="14.42578125" bestFit="1" customWidth="1"/>
    <col min="10" max="10" width="8.42578125" bestFit="1" customWidth="1"/>
    <col min="11" max="11" width="16" bestFit="1" customWidth="1"/>
    <col min="12" max="12" width="11.140625" bestFit="1" customWidth="1"/>
    <col min="13" max="13" width="7.7109375" bestFit="1" customWidth="1"/>
    <col min="14" max="14" width="7" bestFit="1" customWidth="1"/>
    <col min="15" max="15" width="6" bestFit="1" customWidth="1"/>
    <col min="16" max="16" width="1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2" customFormat="1" x14ac:dyDescent="0.25">
      <c r="A2" s="1">
        <v>260513000000000</v>
      </c>
      <c r="B2" s="2">
        <v>901</v>
      </c>
      <c r="C2" s="2">
        <v>2190</v>
      </c>
      <c r="D2" s="2" t="s">
        <v>16</v>
      </c>
      <c r="E2" s="2" t="s">
        <v>17</v>
      </c>
      <c r="F2" s="2">
        <v>33.880000000000003</v>
      </c>
      <c r="G2" s="2">
        <v>1</v>
      </c>
      <c r="H2" s="2" t="s">
        <v>18</v>
      </c>
      <c r="I2" s="2">
        <v>35.36</v>
      </c>
      <c r="J2" s="2">
        <v>15</v>
      </c>
      <c r="K2" s="2">
        <v>0.2</v>
      </c>
      <c r="N2" s="2">
        <v>530.4</v>
      </c>
      <c r="O2" s="2" t="b">
        <v>1</v>
      </c>
      <c r="P2" s="2" t="s">
        <v>19</v>
      </c>
    </row>
    <row r="3" spans="1:16" s="2" customFormat="1" x14ac:dyDescent="0.25">
      <c r="A3" s="1">
        <v>260512000000000</v>
      </c>
      <c r="B3" s="2">
        <v>901</v>
      </c>
      <c r="C3" s="2">
        <v>2190</v>
      </c>
      <c r="D3" s="2" t="s">
        <v>16</v>
      </c>
      <c r="E3" s="2" t="s">
        <v>20</v>
      </c>
      <c r="F3" s="2">
        <v>33.04</v>
      </c>
      <c r="G3" s="2">
        <v>1</v>
      </c>
      <c r="H3" s="2" t="s">
        <v>21</v>
      </c>
      <c r="I3" s="2">
        <v>33.020000000000003</v>
      </c>
      <c r="J3" s="2">
        <v>19</v>
      </c>
      <c r="K3" s="2">
        <v>0.2</v>
      </c>
      <c r="N3" s="2">
        <v>627.38</v>
      </c>
      <c r="O3" s="2" t="b">
        <v>1</v>
      </c>
      <c r="P3" s="2" t="s">
        <v>19</v>
      </c>
    </row>
    <row r="4" spans="1:16" s="2" customFormat="1" x14ac:dyDescent="0.25">
      <c r="A4" s="1">
        <v>260511000000000</v>
      </c>
      <c r="B4" s="2">
        <v>901</v>
      </c>
      <c r="C4" s="2">
        <v>2190</v>
      </c>
      <c r="D4" s="2" t="s">
        <v>16</v>
      </c>
      <c r="E4" s="2" t="s">
        <v>22</v>
      </c>
      <c r="F4" s="2">
        <v>33.159999999999997</v>
      </c>
      <c r="G4" s="2">
        <v>1</v>
      </c>
      <c r="H4" s="2" t="s">
        <v>23</v>
      </c>
      <c r="I4" s="2">
        <v>33.14</v>
      </c>
      <c r="J4" s="2">
        <v>24</v>
      </c>
      <c r="K4" s="2">
        <v>0.2</v>
      </c>
      <c r="N4" s="2">
        <v>795.36</v>
      </c>
      <c r="O4" s="2" t="b">
        <v>1</v>
      </c>
      <c r="P4" s="2" t="s">
        <v>19</v>
      </c>
    </row>
    <row r="5" spans="1:16" s="4" customFormat="1" x14ac:dyDescent="0.25">
      <c r="A5" s="3">
        <v>260521000000000</v>
      </c>
      <c r="B5" s="4">
        <v>907</v>
      </c>
      <c r="C5" s="4">
        <v>4050</v>
      </c>
      <c r="D5" s="4" t="s">
        <v>16</v>
      </c>
      <c r="E5" s="4" t="s">
        <v>24</v>
      </c>
      <c r="F5" s="4">
        <v>45.6</v>
      </c>
      <c r="G5" s="4">
        <v>1</v>
      </c>
      <c r="H5" s="4" t="s">
        <v>25</v>
      </c>
      <c r="J5" s="4">
        <v>5</v>
      </c>
      <c r="K5" s="4">
        <v>0.14529914499999999</v>
      </c>
      <c r="N5" s="4">
        <v>0</v>
      </c>
      <c r="O5" s="4" t="b">
        <v>0</v>
      </c>
      <c r="P5" s="4" t="s">
        <v>19</v>
      </c>
    </row>
    <row r="6" spans="1:16" s="4" customFormat="1" x14ac:dyDescent="0.25">
      <c r="A6" s="3">
        <v>260520000000000</v>
      </c>
      <c r="B6" s="4">
        <v>907</v>
      </c>
      <c r="C6" s="4">
        <v>4050</v>
      </c>
      <c r="D6" s="4" t="s">
        <v>16</v>
      </c>
      <c r="E6" s="4" t="s">
        <v>26</v>
      </c>
      <c r="F6" s="4">
        <v>45.94</v>
      </c>
      <c r="G6" s="4">
        <v>2</v>
      </c>
      <c r="H6" s="4" t="s">
        <v>27</v>
      </c>
      <c r="I6" s="4">
        <v>46.22</v>
      </c>
      <c r="J6" s="4">
        <v>1</v>
      </c>
      <c r="K6" s="4">
        <v>0.03</v>
      </c>
      <c r="L6" s="4">
        <v>1.25888</v>
      </c>
      <c r="M6" s="4">
        <v>2.8</v>
      </c>
      <c r="N6" s="4">
        <v>46.22</v>
      </c>
      <c r="O6" s="4" t="b">
        <v>1</v>
      </c>
      <c r="P6" s="4" t="s">
        <v>19</v>
      </c>
    </row>
    <row r="7" spans="1:16" s="4" customFormat="1" x14ac:dyDescent="0.25">
      <c r="A7" s="3">
        <v>260519000000000</v>
      </c>
      <c r="B7" s="4">
        <v>907</v>
      </c>
      <c r="C7" s="4">
        <v>4050</v>
      </c>
      <c r="D7" s="4" t="s">
        <v>16</v>
      </c>
      <c r="E7" s="4" t="s">
        <v>28</v>
      </c>
      <c r="F7" s="4">
        <v>46.42</v>
      </c>
      <c r="G7" s="4">
        <v>2</v>
      </c>
      <c r="H7" s="4" t="s">
        <v>29</v>
      </c>
      <c r="I7" s="4">
        <v>46.42</v>
      </c>
      <c r="J7" s="4">
        <v>1</v>
      </c>
      <c r="K7" s="4">
        <v>0.03</v>
      </c>
      <c r="L7" s="4">
        <v>1.4612000000000001</v>
      </c>
      <c r="M7" s="4">
        <v>3.25</v>
      </c>
      <c r="N7" s="4">
        <v>46.42</v>
      </c>
      <c r="O7" s="4" t="b">
        <v>1</v>
      </c>
      <c r="P7" s="4" t="s">
        <v>19</v>
      </c>
    </row>
    <row r="8" spans="1:16" s="4" customFormat="1" x14ac:dyDescent="0.25">
      <c r="A8" s="3">
        <v>260518000000000</v>
      </c>
      <c r="B8" s="4">
        <v>907</v>
      </c>
      <c r="C8" s="4">
        <v>4050</v>
      </c>
      <c r="D8" s="4" t="s">
        <v>16</v>
      </c>
      <c r="E8" s="4" t="s">
        <v>30</v>
      </c>
      <c r="F8" s="4">
        <v>41.96</v>
      </c>
      <c r="G8" s="4">
        <v>1</v>
      </c>
      <c r="H8" s="4" t="s">
        <v>31</v>
      </c>
      <c r="I8" s="4">
        <v>42.04</v>
      </c>
      <c r="J8" s="4">
        <v>6</v>
      </c>
      <c r="K8" s="4">
        <v>0.14529914499999999</v>
      </c>
      <c r="N8" s="4">
        <v>252.24</v>
      </c>
      <c r="O8" s="4" t="b">
        <v>1</v>
      </c>
      <c r="P8" s="4" t="s">
        <v>19</v>
      </c>
    </row>
    <row r="9" spans="1:16" s="4" customFormat="1" x14ac:dyDescent="0.25">
      <c r="A9" s="3">
        <v>260517000000000</v>
      </c>
      <c r="B9" s="4">
        <v>907</v>
      </c>
      <c r="C9" s="4">
        <v>4050</v>
      </c>
      <c r="D9" s="4" t="s">
        <v>16</v>
      </c>
      <c r="E9" s="4" t="s">
        <v>32</v>
      </c>
      <c r="F9" s="4">
        <v>42</v>
      </c>
      <c r="G9" s="4">
        <v>1</v>
      </c>
      <c r="H9" s="4" t="s">
        <v>33</v>
      </c>
      <c r="I9" s="4">
        <v>42.1</v>
      </c>
      <c r="J9" s="4">
        <v>7</v>
      </c>
      <c r="K9" s="4">
        <v>0.14529914499999999</v>
      </c>
      <c r="N9" s="4">
        <v>294.7</v>
      </c>
      <c r="O9" s="4" t="b">
        <v>1</v>
      </c>
      <c r="P9" s="4" t="s">
        <v>19</v>
      </c>
    </row>
    <row r="10" spans="1:16" s="4" customFormat="1" x14ac:dyDescent="0.25">
      <c r="A10" s="3">
        <v>260514000000000</v>
      </c>
      <c r="B10" s="4">
        <v>907</v>
      </c>
      <c r="C10" s="4">
        <v>4050</v>
      </c>
      <c r="D10" s="4" t="s">
        <v>16</v>
      </c>
      <c r="E10" s="4" t="s">
        <v>34</v>
      </c>
      <c r="G10" s="4">
        <v>1</v>
      </c>
      <c r="H10" s="4" t="s">
        <v>35</v>
      </c>
      <c r="I10" s="4">
        <v>43.58</v>
      </c>
      <c r="J10" s="4">
        <v>8</v>
      </c>
      <c r="K10" s="4">
        <v>0.14529914499999999</v>
      </c>
      <c r="N10" s="4">
        <v>348.64</v>
      </c>
      <c r="O10" s="4" t="b">
        <v>1</v>
      </c>
      <c r="P10" s="4" t="s">
        <v>19</v>
      </c>
    </row>
    <row r="11" spans="1:16" s="4" customFormat="1" x14ac:dyDescent="0.25">
      <c r="A11" s="3">
        <v>260513000000000</v>
      </c>
      <c r="B11" s="4">
        <v>907</v>
      </c>
      <c r="C11" s="4">
        <v>4050</v>
      </c>
      <c r="D11" s="4" t="s">
        <v>16</v>
      </c>
      <c r="E11" s="4" t="s">
        <v>36</v>
      </c>
      <c r="F11" s="4">
        <v>44</v>
      </c>
      <c r="G11" s="4">
        <v>1</v>
      </c>
      <c r="H11" s="4" t="s">
        <v>37</v>
      </c>
      <c r="I11" s="4">
        <v>43.66</v>
      </c>
      <c r="J11" s="4">
        <v>9</v>
      </c>
      <c r="K11" s="4">
        <v>0.14529914499999999</v>
      </c>
      <c r="N11" s="4">
        <v>392.94</v>
      </c>
      <c r="O11" s="4" t="b">
        <v>1</v>
      </c>
      <c r="P11" s="4" t="s">
        <v>19</v>
      </c>
    </row>
    <row r="12" spans="1:16" s="4" customFormat="1" x14ac:dyDescent="0.25">
      <c r="A12" s="3">
        <v>260512000000000</v>
      </c>
      <c r="B12" s="4">
        <v>907</v>
      </c>
      <c r="C12" s="4">
        <v>4050</v>
      </c>
      <c r="D12" s="4" t="s">
        <v>16</v>
      </c>
      <c r="E12" s="4" t="s">
        <v>38</v>
      </c>
      <c r="F12" s="4">
        <v>45.06</v>
      </c>
      <c r="G12" s="4">
        <v>1</v>
      </c>
      <c r="H12" s="4" t="s">
        <v>39</v>
      </c>
      <c r="I12" s="4">
        <v>45.02</v>
      </c>
      <c r="J12" s="4">
        <v>11</v>
      </c>
      <c r="K12" s="4">
        <v>0.14529914499999999</v>
      </c>
      <c r="N12" s="4">
        <v>495.22</v>
      </c>
      <c r="O12" s="4" t="b">
        <v>1</v>
      </c>
      <c r="P12" s="4" t="s">
        <v>19</v>
      </c>
    </row>
    <row r="13" spans="1:16" s="4" customFormat="1" x14ac:dyDescent="0.25">
      <c r="A13" s="3">
        <v>260511000000000</v>
      </c>
      <c r="B13" s="4">
        <v>907</v>
      </c>
      <c r="C13" s="4">
        <v>4050</v>
      </c>
      <c r="D13" s="4" t="s">
        <v>16</v>
      </c>
      <c r="E13" s="4" t="s">
        <v>40</v>
      </c>
      <c r="F13" s="4">
        <v>50.35</v>
      </c>
      <c r="G13" s="4">
        <v>1</v>
      </c>
      <c r="H13" s="4" t="s">
        <v>41</v>
      </c>
      <c r="I13" s="4">
        <v>50</v>
      </c>
      <c r="J13" s="4">
        <v>11</v>
      </c>
      <c r="K13" s="4">
        <v>0.14529914499999999</v>
      </c>
      <c r="N13" s="4">
        <v>550</v>
      </c>
      <c r="O13" s="4" t="b">
        <v>1</v>
      </c>
      <c r="P13" s="4" t="s">
        <v>19</v>
      </c>
    </row>
    <row r="14" spans="1:16" s="2" customFormat="1" x14ac:dyDescent="0.25">
      <c r="A14" s="1">
        <v>260521000000000</v>
      </c>
      <c r="B14" s="2">
        <v>900</v>
      </c>
      <c r="C14" s="2">
        <v>8210</v>
      </c>
      <c r="D14" s="2" t="s">
        <v>16</v>
      </c>
      <c r="E14" s="2" t="s">
        <v>42</v>
      </c>
      <c r="F14" s="2">
        <v>171.7</v>
      </c>
      <c r="G14" s="2">
        <v>1</v>
      </c>
      <c r="H14" s="2" t="s">
        <v>43</v>
      </c>
      <c r="J14" s="2">
        <v>1</v>
      </c>
      <c r="K14" s="2">
        <v>0.19</v>
      </c>
      <c r="N14" s="2">
        <v>0</v>
      </c>
      <c r="O14" s="2" t="b">
        <v>0</v>
      </c>
      <c r="P14" s="2" t="s">
        <v>19</v>
      </c>
    </row>
    <row r="15" spans="1:16" s="2" customFormat="1" x14ac:dyDescent="0.25">
      <c r="A15" s="1">
        <v>260520000000000</v>
      </c>
      <c r="B15" s="2">
        <v>900</v>
      </c>
      <c r="C15" s="2">
        <v>8210</v>
      </c>
      <c r="D15" s="2" t="s">
        <v>16</v>
      </c>
      <c r="E15" s="2" t="s">
        <v>44</v>
      </c>
      <c r="F15" s="2">
        <v>167.3</v>
      </c>
      <c r="G15" s="2">
        <v>1</v>
      </c>
      <c r="H15" s="2" t="s">
        <v>45</v>
      </c>
      <c r="I15" s="2">
        <v>167.5</v>
      </c>
      <c r="J15" s="2">
        <v>1</v>
      </c>
      <c r="K15" s="2">
        <v>0.19</v>
      </c>
      <c r="N15" s="2">
        <v>167.5</v>
      </c>
      <c r="O15" s="2" t="b">
        <v>1</v>
      </c>
      <c r="P15" s="2" t="s">
        <v>19</v>
      </c>
    </row>
    <row r="16" spans="1:16" s="2" customFormat="1" x14ac:dyDescent="0.25">
      <c r="A16" s="1">
        <v>260519000000000</v>
      </c>
      <c r="B16" s="2">
        <v>900</v>
      </c>
      <c r="C16" s="2">
        <v>8210</v>
      </c>
      <c r="D16" s="2" t="s">
        <v>16</v>
      </c>
      <c r="E16" s="2" t="s">
        <v>46</v>
      </c>
      <c r="F16" s="2">
        <v>170.7</v>
      </c>
      <c r="G16" s="2">
        <v>1</v>
      </c>
      <c r="H16" s="2" t="s">
        <v>47</v>
      </c>
      <c r="I16" s="2">
        <v>170.7</v>
      </c>
      <c r="J16" s="2">
        <v>2</v>
      </c>
      <c r="K16" s="2">
        <v>0.19</v>
      </c>
      <c r="N16" s="2">
        <v>341.4</v>
      </c>
      <c r="O16" s="2" t="b">
        <v>1</v>
      </c>
      <c r="P16" s="2" t="s">
        <v>19</v>
      </c>
    </row>
    <row r="17" spans="1:16" s="2" customFormat="1" x14ac:dyDescent="0.25">
      <c r="A17" s="1">
        <v>260514000000000</v>
      </c>
      <c r="B17" s="2">
        <v>900</v>
      </c>
      <c r="C17" s="2">
        <v>8210</v>
      </c>
      <c r="D17" s="2" t="s">
        <v>16</v>
      </c>
      <c r="E17" s="2" t="s">
        <v>48</v>
      </c>
      <c r="F17" s="2">
        <v>174.7</v>
      </c>
      <c r="G17" s="2">
        <v>1</v>
      </c>
      <c r="H17" s="2" t="s">
        <v>49</v>
      </c>
      <c r="I17" s="2">
        <v>174.5</v>
      </c>
      <c r="J17" s="2">
        <v>2</v>
      </c>
      <c r="K17" s="2">
        <v>0.19</v>
      </c>
      <c r="N17" s="2">
        <v>349</v>
      </c>
      <c r="O17" s="2" t="b">
        <v>1</v>
      </c>
      <c r="P17" s="2" t="s">
        <v>19</v>
      </c>
    </row>
    <row r="18" spans="1:16" s="2" customFormat="1" x14ac:dyDescent="0.25">
      <c r="A18" s="1">
        <v>260513000000000</v>
      </c>
      <c r="B18" s="2">
        <v>900</v>
      </c>
      <c r="C18" s="2">
        <v>8210</v>
      </c>
      <c r="D18" s="2" t="s">
        <v>16</v>
      </c>
      <c r="E18" s="2" t="s">
        <v>50</v>
      </c>
      <c r="F18" s="2">
        <v>174.1</v>
      </c>
      <c r="G18" s="2">
        <v>1</v>
      </c>
      <c r="H18" s="2" t="s">
        <v>51</v>
      </c>
      <c r="I18" s="2">
        <v>174.2</v>
      </c>
      <c r="J18" s="2">
        <v>3</v>
      </c>
      <c r="K18" s="2">
        <v>0.19</v>
      </c>
      <c r="N18" s="2">
        <v>522.6</v>
      </c>
      <c r="O18" s="2" t="b">
        <v>1</v>
      </c>
      <c r="P18" s="2" t="s">
        <v>19</v>
      </c>
    </row>
    <row r="19" spans="1:16" s="2" customFormat="1" x14ac:dyDescent="0.25">
      <c r="A19" s="1">
        <v>260512000000000</v>
      </c>
      <c r="B19" s="2">
        <v>900</v>
      </c>
      <c r="C19" s="2">
        <v>8210</v>
      </c>
      <c r="D19" s="2" t="s">
        <v>16</v>
      </c>
      <c r="E19" s="2" t="s">
        <v>52</v>
      </c>
      <c r="F19" s="2">
        <v>174.6</v>
      </c>
      <c r="G19" s="2">
        <v>1</v>
      </c>
      <c r="H19" s="2" t="s">
        <v>53</v>
      </c>
      <c r="I19" s="2">
        <v>174.6</v>
      </c>
      <c r="J19" s="2">
        <v>3</v>
      </c>
      <c r="K19" s="2">
        <v>0.19</v>
      </c>
      <c r="N19" s="2">
        <v>523.79999999999995</v>
      </c>
      <c r="O19" s="2" t="b">
        <v>1</v>
      </c>
      <c r="P19" s="2" t="s">
        <v>19</v>
      </c>
    </row>
    <row r="20" spans="1:16" s="2" customFormat="1" x14ac:dyDescent="0.25">
      <c r="A20" s="1">
        <v>260511000000000</v>
      </c>
      <c r="B20" s="2">
        <v>900</v>
      </c>
      <c r="C20" s="2">
        <v>8210</v>
      </c>
      <c r="D20" s="2" t="s">
        <v>16</v>
      </c>
      <c r="E20" s="2" t="s">
        <v>54</v>
      </c>
      <c r="F20" s="2">
        <v>179.3</v>
      </c>
      <c r="G20" s="2">
        <v>1</v>
      </c>
      <c r="H20" s="2" t="s">
        <v>55</v>
      </c>
      <c r="I20" s="2">
        <v>179.6</v>
      </c>
      <c r="J20" s="2">
        <v>4</v>
      </c>
      <c r="K20" s="2">
        <v>0.19</v>
      </c>
      <c r="N20" s="2">
        <v>718.4</v>
      </c>
      <c r="O20" s="2" t="b">
        <v>1</v>
      </c>
      <c r="P20" s="2" t="s">
        <v>19</v>
      </c>
    </row>
    <row r="21" spans="1:16" s="4" customFormat="1" x14ac:dyDescent="0.25">
      <c r="A21" s="3">
        <v>260521000000000</v>
      </c>
      <c r="B21" s="4">
        <v>897</v>
      </c>
      <c r="C21" s="4">
        <v>6013</v>
      </c>
      <c r="D21" s="4" t="s">
        <v>16</v>
      </c>
      <c r="E21" s="4" t="s">
        <v>56</v>
      </c>
      <c r="F21" s="4">
        <v>85.5</v>
      </c>
      <c r="G21" s="4">
        <v>1</v>
      </c>
      <c r="H21" s="4" t="s">
        <v>57</v>
      </c>
      <c r="J21" s="4">
        <v>2</v>
      </c>
      <c r="K21" s="4">
        <v>7.5187970000000007E-2</v>
      </c>
      <c r="N21" s="4">
        <v>0</v>
      </c>
      <c r="O21" s="4" t="b">
        <v>0</v>
      </c>
      <c r="P21" s="4" t="s">
        <v>19</v>
      </c>
    </row>
    <row r="22" spans="1:16" s="4" customFormat="1" x14ac:dyDescent="0.25">
      <c r="A22" s="3">
        <v>260520000000000</v>
      </c>
      <c r="B22" s="4">
        <v>897</v>
      </c>
      <c r="C22" s="4">
        <v>6013</v>
      </c>
      <c r="D22" s="4" t="s">
        <v>16</v>
      </c>
      <c r="E22" s="4" t="s">
        <v>58</v>
      </c>
      <c r="F22" s="4">
        <v>85.8</v>
      </c>
      <c r="G22" s="4">
        <v>1</v>
      </c>
      <c r="H22" s="4" t="s">
        <v>59</v>
      </c>
      <c r="I22" s="4">
        <v>86</v>
      </c>
      <c r="J22" s="4">
        <v>2</v>
      </c>
      <c r="K22" s="4">
        <v>7.5187970000000007E-2</v>
      </c>
      <c r="N22" s="4">
        <v>172</v>
      </c>
      <c r="O22" s="4" t="b">
        <v>1</v>
      </c>
      <c r="P22" s="4" t="s">
        <v>19</v>
      </c>
    </row>
    <row r="23" spans="1:16" s="4" customFormat="1" x14ac:dyDescent="0.25">
      <c r="A23" s="3">
        <v>260519000000000</v>
      </c>
      <c r="B23" s="4">
        <v>897</v>
      </c>
      <c r="C23" s="4">
        <v>6013</v>
      </c>
      <c r="D23" s="4" t="s">
        <v>16</v>
      </c>
      <c r="E23" s="4" t="s">
        <v>60</v>
      </c>
      <c r="F23" s="4">
        <v>86.75</v>
      </c>
      <c r="G23" s="4">
        <v>1</v>
      </c>
      <c r="H23" s="4" t="s">
        <v>61</v>
      </c>
      <c r="I23" s="4">
        <v>86.5</v>
      </c>
      <c r="J23" s="4">
        <v>2</v>
      </c>
      <c r="K23" s="4">
        <v>7.5187970000000007E-2</v>
      </c>
      <c r="N23" s="4">
        <v>173</v>
      </c>
      <c r="O23" s="4" t="b">
        <v>1</v>
      </c>
      <c r="P23" s="4" t="s">
        <v>19</v>
      </c>
    </row>
    <row r="24" spans="1:16" s="4" customFormat="1" x14ac:dyDescent="0.25">
      <c r="A24" s="3">
        <v>260518000000000</v>
      </c>
      <c r="B24" s="4">
        <v>897</v>
      </c>
      <c r="C24" s="4">
        <v>6013</v>
      </c>
      <c r="D24" s="4" t="s">
        <v>16</v>
      </c>
      <c r="E24" s="4" t="s">
        <v>62</v>
      </c>
      <c r="F24" s="4">
        <v>86.55</v>
      </c>
      <c r="G24" s="4">
        <v>1</v>
      </c>
      <c r="H24" s="4" t="s">
        <v>63</v>
      </c>
      <c r="I24" s="4">
        <v>86.55</v>
      </c>
      <c r="J24" s="4">
        <v>2</v>
      </c>
      <c r="K24" s="4">
        <v>7.5187970000000007E-2</v>
      </c>
      <c r="N24" s="4">
        <v>173.1</v>
      </c>
      <c r="O24" s="4" t="b">
        <v>1</v>
      </c>
      <c r="P24" s="4" t="s">
        <v>19</v>
      </c>
    </row>
    <row r="25" spans="1:16" s="4" customFormat="1" x14ac:dyDescent="0.25">
      <c r="A25" s="3">
        <v>260517000000000</v>
      </c>
      <c r="B25" s="4">
        <v>897</v>
      </c>
      <c r="C25" s="4">
        <v>6013</v>
      </c>
      <c r="D25" s="4" t="s">
        <v>16</v>
      </c>
      <c r="E25" s="4" t="s">
        <v>64</v>
      </c>
      <c r="F25" s="4">
        <v>88.05</v>
      </c>
      <c r="G25" s="4">
        <v>1</v>
      </c>
      <c r="H25" s="4" t="s">
        <v>65</v>
      </c>
      <c r="I25" s="4">
        <v>88.1</v>
      </c>
      <c r="J25" s="4">
        <v>2</v>
      </c>
      <c r="K25" s="4">
        <v>7.5187970000000007E-2</v>
      </c>
      <c r="N25" s="4">
        <v>176.2</v>
      </c>
      <c r="O25" s="4" t="b">
        <v>1</v>
      </c>
      <c r="P25" s="4" t="s">
        <v>19</v>
      </c>
    </row>
    <row r="26" spans="1:16" s="4" customFormat="1" x14ac:dyDescent="0.25">
      <c r="A26" s="3">
        <v>260514000000000</v>
      </c>
      <c r="B26" s="4">
        <v>897</v>
      </c>
      <c r="C26" s="4">
        <v>6013</v>
      </c>
      <c r="D26" s="4" t="s">
        <v>16</v>
      </c>
      <c r="E26" s="4" t="s">
        <v>66</v>
      </c>
      <c r="F26" s="4">
        <v>89.8</v>
      </c>
      <c r="G26" s="4">
        <v>1</v>
      </c>
      <c r="H26" s="4" t="s">
        <v>67</v>
      </c>
      <c r="I26" s="4">
        <v>89.8</v>
      </c>
      <c r="J26" s="4">
        <v>2</v>
      </c>
      <c r="K26" s="4">
        <v>7.5187970000000007E-2</v>
      </c>
      <c r="N26" s="4">
        <v>179.6</v>
      </c>
      <c r="O26" s="4" t="b">
        <v>1</v>
      </c>
      <c r="P26" s="4" t="s">
        <v>19</v>
      </c>
    </row>
    <row r="27" spans="1:16" s="4" customFormat="1" x14ac:dyDescent="0.25">
      <c r="A27" s="3">
        <v>260513000000000</v>
      </c>
      <c r="B27" s="4">
        <v>897</v>
      </c>
      <c r="C27" s="4">
        <v>6013</v>
      </c>
      <c r="D27" s="4" t="s">
        <v>16</v>
      </c>
      <c r="E27" s="4" t="s">
        <v>68</v>
      </c>
      <c r="F27" s="4">
        <v>89.35</v>
      </c>
      <c r="G27" s="4">
        <v>1</v>
      </c>
      <c r="H27" s="4" t="s">
        <v>69</v>
      </c>
      <c r="I27" s="4">
        <v>89</v>
      </c>
      <c r="J27" s="4">
        <v>2</v>
      </c>
      <c r="K27" s="4">
        <v>7.5187970000000007E-2</v>
      </c>
      <c r="N27" s="4">
        <v>178</v>
      </c>
      <c r="O27" s="4" t="b">
        <v>1</v>
      </c>
      <c r="P27" s="4" t="s">
        <v>19</v>
      </c>
    </row>
    <row r="28" spans="1:16" s="4" customFormat="1" x14ac:dyDescent="0.25">
      <c r="A28" s="3">
        <v>260512000000000</v>
      </c>
      <c r="B28" s="4">
        <v>897</v>
      </c>
      <c r="C28" s="4">
        <v>6013</v>
      </c>
      <c r="D28" s="4" t="s">
        <v>16</v>
      </c>
      <c r="E28" s="4" t="s">
        <v>70</v>
      </c>
      <c r="F28" s="4">
        <v>90</v>
      </c>
      <c r="G28" s="4">
        <v>1</v>
      </c>
      <c r="H28" s="4" t="s">
        <v>71</v>
      </c>
      <c r="I28" s="4">
        <v>90.1</v>
      </c>
      <c r="J28" s="4">
        <v>3</v>
      </c>
      <c r="K28" s="4">
        <v>7.5187970000000007E-2</v>
      </c>
      <c r="N28" s="4">
        <v>270.3</v>
      </c>
      <c r="O28" s="4" t="b">
        <v>1</v>
      </c>
      <c r="P28" s="4" t="s">
        <v>19</v>
      </c>
    </row>
    <row r="29" spans="1:16" s="4" customFormat="1" x14ac:dyDescent="0.25">
      <c r="A29" s="3">
        <v>260511000000000</v>
      </c>
      <c r="B29" s="4">
        <v>897</v>
      </c>
      <c r="C29" s="4">
        <v>6013</v>
      </c>
      <c r="D29" s="4" t="s">
        <v>16</v>
      </c>
      <c r="E29" s="4" t="s">
        <v>72</v>
      </c>
      <c r="F29" s="4">
        <v>91.85</v>
      </c>
      <c r="G29" s="4">
        <v>1</v>
      </c>
      <c r="H29" s="4" t="s">
        <v>73</v>
      </c>
      <c r="I29" s="4">
        <v>92.3</v>
      </c>
      <c r="J29" s="4">
        <v>3</v>
      </c>
      <c r="K29" s="4">
        <v>7.5187970000000007E-2</v>
      </c>
      <c r="N29" s="4">
        <v>276.89999999999998</v>
      </c>
      <c r="O29" s="4" t="b">
        <v>1</v>
      </c>
      <c r="P29" s="4" t="s">
        <v>19</v>
      </c>
    </row>
    <row r="30" spans="1:16" s="2" customFormat="1" x14ac:dyDescent="0.25">
      <c r="A30" s="1">
        <v>260520000000000</v>
      </c>
      <c r="B30" s="2">
        <v>936</v>
      </c>
      <c r="C30" s="2">
        <v>1211</v>
      </c>
      <c r="D30" s="2" t="s">
        <v>16</v>
      </c>
      <c r="E30" s="2" t="s">
        <v>74</v>
      </c>
      <c r="F30" s="2">
        <v>61.05</v>
      </c>
      <c r="G30" s="2">
        <v>1</v>
      </c>
      <c r="H30" s="2" t="s">
        <v>75</v>
      </c>
      <c r="I30" s="2">
        <v>61.15</v>
      </c>
      <c r="J30" s="2">
        <v>7</v>
      </c>
      <c r="K30" s="2">
        <v>0.25894736800000001</v>
      </c>
      <c r="N30" s="2">
        <v>428.05</v>
      </c>
      <c r="O30" s="2" t="b">
        <v>1</v>
      </c>
      <c r="P30" s="2" t="s">
        <v>19</v>
      </c>
    </row>
    <row r="31" spans="1:16" s="2" customFormat="1" x14ac:dyDescent="0.25">
      <c r="A31" s="1">
        <v>260519000000000</v>
      </c>
      <c r="B31" s="2">
        <v>936</v>
      </c>
      <c r="C31" s="2">
        <v>1211</v>
      </c>
      <c r="D31" s="2" t="s">
        <v>16</v>
      </c>
      <c r="E31" s="2" t="s">
        <v>76</v>
      </c>
      <c r="F31" s="2">
        <v>61.5</v>
      </c>
      <c r="G31" s="2">
        <v>1</v>
      </c>
      <c r="H31" s="2" t="s">
        <v>77</v>
      </c>
      <c r="I31" s="2">
        <v>61.65</v>
      </c>
      <c r="J31" s="2">
        <v>10</v>
      </c>
      <c r="K31" s="2">
        <v>0.25894736800000001</v>
      </c>
      <c r="N31" s="2">
        <v>616.5</v>
      </c>
      <c r="O31" s="2" t="b">
        <v>1</v>
      </c>
      <c r="P31" s="2" t="s">
        <v>19</v>
      </c>
    </row>
    <row r="32" spans="1:16" s="2" customFormat="1" x14ac:dyDescent="0.25">
      <c r="A32" s="1">
        <v>260518000000000</v>
      </c>
      <c r="B32" s="2">
        <v>936</v>
      </c>
      <c r="C32" s="2">
        <v>1211</v>
      </c>
      <c r="D32" s="2" t="s">
        <v>16</v>
      </c>
      <c r="E32" s="2" t="s">
        <v>78</v>
      </c>
      <c r="F32" s="2">
        <v>62.1</v>
      </c>
      <c r="G32" s="2">
        <v>1</v>
      </c>
      <c r="H32" s="2" t="s">
        <v>79</v>
      </c>
      <c r="I32" s="2">
        <v>62.1</v>
      </c>
      <c r="J32" s="2">
        <v>13</v>
      </c>
      <c r="K32" s="2">
        <v>0.25894736800000001</v>
      </c>
      <c r="N32" s="2">
        <v>807.3</v>
      </c>
      <c r="O32" s="2" t="b">
        <v>1</v>
      </c>
      <c r="P32" s="2" t="s">
        <v>19</v>
      </c>
    </row>
    <row r="33" spans="1:16" s="2" customFormat="1" x14ac:dyDescent="0.25">
      <c r="A33" s="1">
        <v>260517000000000</v>
      </c>
      <c r="B33" s="2">
        <v>936</v>
      </c>
      <c r="C33" s="2">
        <v>1211</v>
      </c>
      <c r="D33" s="2" t="s">
        <v>16</v>
      </c>
      <c r="E33" s="2" t="s">
        <v>80</v>
      </c>
      <c r="F33" s="2">
        <v>63.2</v>
      </c>
      <c r="G33" s="2">
        <v>1</v>
      </c>
      <c r="H33" s="2" t="s">
        <v>81</v>
      </c>
      <c r="I33" s="2">
        <v>62.9</v>
      </c>
      <c r="J33" s="2">
        <v>11</v>
      </c>
      <c r="K33" s="2">
        <v>0.18</v>
      </c>
      <c r="N33" s="2">
        <v>691.9</v>
      </c>
      <c r="O33" s="2" t="b">
        <v>1</v>
      </c>
      <c r="P33" s="2" t="s">
        <v>19</v>
      </c>
    </row>
    <row r="34" spans="1:16" s="4" customFormat="1" x14ac:dyDescent="0.25">
      <c r="A34" s="3">
        <v>260520000000000</v>
      </c>
      <c r="B34" s="4">
        <v>895</v>
      </c>
      <c r="C34" s="4">
        <v>4260</v>
      </c>
      <c r="D34" s="4" t="s">
        <v>16</v>
      </c>
      <c r="E34" s="4" t="s">
        <v>82</v>
      </c>
      <c r="F34" s="4">
        <v>32.9</v>
      </c>
      <c r="G34" s="4">
        <v>1</v>
      </c>
      <c r="H34" s="4" t="s">
        <v>83</v>
      </c>
      <c r="I34" s="4">
        <v>32.9</v>
      </c>
      <c r="J34" s="4">
        <v>5</v>
      </c>
      <c r="K34" s="4">
        <v>0.18612826599999999</v>
      </c>
      <c r="N34" s="4">
        <v>164.5</v>
      </c>
      <c r="O34" s="4" t="b">
        <v>1</v>
      </c>
      <c r="P34" s="4" t="s">
        <v>19</v>
      </c>
    </row>
    <row r="35" spans="1:16" s="4" customFormat="1" x14ac:dyDescent="0.25">
      <c r="A35" s="3">
        <v>260519000000000</v>
      </c>
      <c r="B35" s="4">
        <v>895</v>
      </c>
      <c r="C35" s="4">
        <v>4260</v>
      </c>
      <c r="D35" s="4" t="s">
        <v>16</v>
      </c>
      <c r="E35" s="4" t="s">
        <v>84</v>
      </c>
      <c r="F35" s="4">
        <v>33.04</v>
      </c>
      <c r="G35" s="4">
        <v>1</v>
      </c>
      <c r="H35" s="4" t="s">
        <v>85</v>
      </c>
      <c r="I35" s="4">
        <v>33.020000000000003</v>
      </c>
      <c r="J35" s="4">
        <v>6</v>
      </c>
      <c r="K35" s="4">
        <v>0.18612826599999999</v>
      </c>
      <c r="N35" s="4">
        <v>198.12</v>
      </c>
      <c r="O35" s="4" t="b">
        <v>1</v>
      </c>
      <c r="P35" s="4" t="s">
        <v>19</v>
      </c>
    </row>
    <row r="36" spans="1:16" s="4" customFormat="1" x14ac:dyDescent="0.25">
      <c r="A36" s="3">
        <v>260518000000000</v>
      </c>
      <c r="B36" s="4">
        <v>895</v>
      </c>
      <c r="C36" s="4">
        <v>4260</v>
      </c>
      <c r="D36" s="4" t="s">
        <v>16</v>
      </c>
      <c r="E36" s="4" t="s">
        <v>86</v>
      </c>
      <c r="F36" s="4">
        <v>33.32</v>
      </c>
      <c r="G36" s="4">
        <v>1</v>
      </c>
      <c r="H36" s="4" t="s">
        <v>87</v>
      </c>
      <c r="I36" s="4">
        <v>33.42</v>
      </c>
      <c r="J36" s="4">
        <v>8</v>
      </c>
      <c r="K36" s="4">
        <v>0.18612826599999999</v>
      </c>
      <c r="N36" s="4">
        <v>267.36</v>
      </c>
      <c r="O36" s="4" t="b">
        <v>1</v>
      </c>
      <c r="P36" s="4" t="s">
        <v>19</v>
      </c>
    </row>
    <row r="37" spans="1:16" s="4" customFormat="1" x14ac:dyDescent="0.25">
      <c r="A37" s="3">
        <v>260517000000000</v>
      </c>
      <c r="B37" s="4">
        <v>895</v>
      </c>
      <c r="C37" s="4">
        <v>4260</v>
      </c>
      <c r="D37" s="4" t="s">
        <v>16</v>
      </c>
      <c r="E37" s="4" t="s">
        <v>88</v>
      </c>
      <c r="F37" s="4">
        <v>33.28</v>
      </c>
      <c r="G37" s="4">
        <v>1</v>
      </c>
      <c r="H37" s="4" t="s">
        <v>89</v>
      </c>
      <c r="I37" s="4">
        <v>33.520000000000003</v>
      </c>
      <c r="J37" s="4">
        <v>10</v>
      </c>
      <c r="K37" s="4">
        <v>0.18612826599999999</v>
      </c>
      <c r="N37" s="4">
        <v>335.2</v>
      </c>
      <c r="O37" s="4" t="b">
        <v>1</v>
      </c>
      <c r="P37" s="4" t="s">
        <v>19</v>
      </c>
    </row>
    <row r="38" spans="1:16" s="4" customFormat="1" x14ac:dyDescent="0.25">
      <c r="A38" s="3">
        <v>260514000000000</v>
      </c>
      <c r="B38" s="4">
        <v>895</v>
      </c>
      <c r="C38" s="4">
        <v>4260</v>
      </c>
      <c r="D38" s="4" t="s">
        <v>16</v>
      </c>
      <c r="E38" s="4" t="s">
        <v>90</v>
      </c>
      <c r="F38" s="4">
        <v>33.22</v>
      </c>
      <c r="G38" s="4">
        <v>1</v>
      </c>
      <c r="H38" s="4" t="s">
        <v>91</v>
      </c>
      <c r="I38" s="4">
        <v>33.14</v>
      </c>
      <c r="J38" s="4">
        <v>12</v>
      </c>
      <c r="K38" s="4">
        <v>0.18612826599999999</v>
      </c>
      <c r="N38" s="4">
        <v>397.68</v>
      </c>
      <c r="O38" s="4" t="b">
        <v>1</v>
      </c>
      <c r="P38" s="4" t="s">
        <v>19</v>
      </c>
    </row>
    <row r="39" spans="1:16" s="4" customFormat="1" x14ac:dyDescent="0.25">
      <c r="A39" s="3">
        <v>260513000000000</v>
      </c>
      <c r="B39" s="4">
        <v>895</v>
      </c>
      <c r="C39" s="4">
        <v>4260</v>
      </c>
      <c r="D39" s="4" t="s">
        <v>16</v>
      </c>
      <c r="E39" s="4" t="s">
        <v>92</v>
      </c>
      <c r="F39" s="4">
        <v>34.28</v>
      </c>
      <c r="G39" s="4">
        <v>1</v>
      </c>
      <c r="H39" s="4" t="s">
        <v>93</v>
      </c>
      <c r="I39" s="4">
        <v>34.159999999999997</v>
      </c>
      <c r="J39" s="4">
        <v>14</v>
      </c>
      <c r="K39" s="4">
        <v>0.18612826599999999</v>
      </c>
      <c r="N39" s="4">
        <v>478.24</v>
      </c>
      <c r="O39" s="4" t="b">
        <v>1</v>
      </c>
      <c r="P39" s="4" t="s">
        <v>19</v>
      </c>
    </row>
    <row r="40" spans="1:16" s="4" customFormat="1" x14ac:dyDescent="0.25">
      <c r="A40" s="3">
        <v>260512000000000</v>
      </c>
      <c r="B40" s="4">
        <v>895</v>
      </c>
      <c r="C40" s="4">
        <v>4260</v>
      </c>
      <c r="D40" s="4" t="s">
        <v>16</v>
      </c>
      <c r="E40" s="4" t="s">
        <v>94</v>
      </c>
      <c r="F40" s="4">
        <v>35.340000000000003</v>
      </c>
      <c r="G40" s="4">
        <v>1</v>
      </c>
      <c r="H40" s="4" t="s">
        <v>95</v>
      </c>
      <c r="I40" s="4">
        <v>35.28</v>
      </c>
      <c r="J40" s="4">
        <v>17</v>
      </c>
      <c r="K40" s="4">
        <v>0.18612826599999999</v>
      </c>
      <c r="N40" s="4">
        <v>599.76</v>
      </c>
      <c r="O40" s="4" t="b">
        <v>1</v>
      </c>
      <c r="P40" s="4" t="s">
        <v>19</v>
      </c>
    </row>
    <row r="41" spans="1:16" s="4" customFormat="1" x14ac:dyDescent="0.25">
      <c r="A41" s="3">
        <v>260511000000000</v>
      </c>
      <c r="B41" s="4">
        <v>895</v>
      </c>
      <c r="C41" s="4">
        <v>4260</v>
      </c>
      <c r="D41" s="4" t="s">
        <v>16</v>
      </c>
      <c r="E41" s="4" t="s">
        <v>96</v>
      </c>
      <c r="F41" s="4">
        <v>35.64</v>
      </c>
      <c r="G41" s="4">
        <v>1</v>
      </c>
      <c r="H41" s="4" t="s">
        <v>97</v>
      </c>
      <c r="I41" s="4">
        <v>35.659999999999997</v>
      </c>
      <c r="J41" s="4">
        <v>20</v>
      </c>
      <c r="K41" s="4">
        <v>0.18612826599999999</v>
      </c>
      <c r="N41" s="4">
        <v>713.2</v>
      </c>
      <c r="O41" s="4" t="b">
        <v>1</v>
      </c>
      <c r="P41" s="4" t="s">
        <v>19</v>
      </c>
    </row>
    <row r="42" spans="1:16" s="2" customFormat="1" x14ac:dyDescent="0.25">
      <c r="A42" s="1">
        <v>260514000000000</v>
      </c>
      <c r="B42" s="2">
        <v>920</v>
      </c>
      <c r="C42" s="2">
        <v>8300</v>
      </c>
      <c r="D42" s="2" t="s">
        <v>16</v>
      </c>
      <c r="E42" s="2" t="s">
        <v>98</v>
      </c>
      <c r="F42" s="2">
        <v>12.63</v>
      </c>
      <c r="G42" s="2">
        <v>1</v>
      </c>
      <c r="H42" s="2" t="s">
        <v>99</v>
      </c>
      <c r="I42" s="2">
        <v>12.68</v>
      </c>
      <c r="J42" s="2">
        <v>29</v>
      </c>
      <c r="K42" s="2">
        <v>0.12</v>
      </c>
      <c r="N42" s="2">
        <v>367.72</v>
      </c>
      <c r="O42" s="2" t="b">
        <v>1</v>
      </c>
      <c r="P42" s="2" t="s">
        <v>19</v>
      </c>
    </row>
    <row r="43" spans="1:16" s="2" customFormat="1" x14ac:dyDescent="0.25">
      <c r="A43" s="1">
        <v>260513000000000</v>
      </c>
      <c r="B43" s="2">
        <v>920</v>
      </c>
      <c r="C43" s="2">
        <v>8300</v>
      </c>
      <c r="D43" s="2" t="s">
        <v>16</v>
      </c>
      <c r="E43" s="2" t="s">
        <v>100</v>
      </c>
      <c r="F43" s="2">
        <v>12.73</v>
      </c>
      <c r="G43" s="2">
        <v>1</v>
      </c>
      <c r="H43" s="2" t="s">
        <v>101</v>
      </c>
      <c r="I43" s="2">
        <v>12.74</v>
      </c>
      <c r="J43" s="2">
        <v>33</v>
      </c>
      <c r="K43" s="2">
        <v>0.12</v>
      </c>
      <c r="N43" s="2">
        <v>420.42</v>
      </c>
      <c r="O43" s="2" t="b">
        <v>1</v>
      </c>
      <c r="P43" s="2" t="s">
        <v>19</v>
      </c>
    </row>
    <row r="44" spans="1:16" s="2" customFormat="1" x14ac:dyDescent="0.25">
      <c r="A44" s="1">
        <v>260512000000000</v>
      </c>
      <c r="B44" s="2">
        <v>920</v>
      </c>
      <c r="C44" s="2">
        <v>8300</v>
      </c>
      <c r="D44" s="2" t="s">
        <v>16</v>
      </c>
      <c r="E44" s="2" t="s">
        <v>102</v>
      </c>
      <c r="F44" s="2">
        <v>12.9</v>
      </c>
      <c r="G44" s="2">
        <v>1</v>
      </c>
      <c r="H44" s="2" t="s">
        <v>103</v>
      </c>
      <c r="I44" s="2">
        <v>12.88</v>
      </c>
      <c r="J44" s="2">
        <v>37</v>
      </c>
      <c r="K44" s="2">
        <v>0.12</v>
      </c>
      <c r="N44" s="2">
        <v>476.56</v>
      </c>
      <c r="O44" s="2" t="b">
        <v>1</v>
      </c>
      <c r="P44" s="2" t="s">
        <v>19</v>
      </c>
    </row>
    <row r="45" spans="1:16" s="4" customFormat="1" x14ac:dyDescent="0.25">
      <c r="A45" s="3">
        <v>260520000000000</v>
      </c>
      <c r="B45" s="4">
        <v>919</v>
      </c>
      <c r="C45" s="4">
        <v>4191</v>
      </c>
      <c r="D45" s="4" t="s">
        <v>16</v>
      </c>
      <c r="E45" s="4" t="s">
        <v>104</v>
      </c>
      <c r="F45" s="4">
        <v>40.9</v>
      </c>
      <c r="G45" s="4">
        <v>1</v>
      </c>
      <c r="H45" s="4" t="s">
        <v>105</v>
      </c>
      <c r="I45" s="4">
        <v>40.479999999999997</v>
      </c>
      <c r="J45" s="4">
        <v>1</v>
      </c>
      <c r="K45" s="4">
        <v>2.7272727E-2</v>
      </c>
      <c r="N45" s="4">
        <v>40.479999999999997</v>
      </c>
      <c r="O45" s="4" t="b">
        <v>1</v>
      </c>
      <c r="P45" s="4" t="s">
        <v>19</v>
      </c>
    </row>
    <row r="46" spans="1:16" s="4" customFormat="1" x14ac:dyDescent="0.25">
      <c r="A46" s="3">
        <v>260519000000000</v>
      </c>
      <c r="B46" s="4">
        <v>919</v>
      </c>
      <c r="C46" s="4">
        <v>4191</v>
      </c>
      <c r="D46" s="4" t="s">
        <v>16</v>
      </c>
      <c r="E46" s="4" t="s">
        <v>106</v>
      </c>
      <c r="F46" s="4">
        <v>40</v>
      </c>
      <c r="G46" s="4">
        <v>1</v>
      </c>
      <c r="H46" s="4" t="s">
        <v>107</v>
      </c>
      <c r="I46" s="4">
        <v>39.92</v>
      </c>
      <c r="J46" s="4">
        <v>2</v>
      </c>
      <c r="K46" s="4">
        <v>2.7272727E-2</v>
      </c>
      <c r="N46" s="4">
        <v>79.84</v>
      </c>
      <c r="O46" s="4" t="b">
        <v>1</v>
      </c>
      <c r="P46" s="4" t="s">
        <v>19</v>
      </c>
    </row>
    <row r="47" spans="1:16" s="4" customFormat="1" x14ac:dyDescent="0.25">
      <c r="A47" s="3">
        <v>260518000000000</v>
      </c>
      <c r="B47" s="4">
        <v>919</v>
      </c>
      <c r="C47" s="4">
        <v>4191</v>
      </c>
      <c r="D47" s="4" t="s">
        <v>16</v>
      </c>
      <c r="E47" s="4" t="s">
        <v>108</v>
      </c>
      <c r="F47" s="4">
        <v>39.380000000000003</v>
      </c>
      <c r="G47" s="4">
        <v>1</v>
      </c>
      <c r="H47" s="4" t="s">
        <v>109</v>
      </c>
      <c r="I47" s="4">
        <v>39.520000000000003</v>
      </c>
      <c r="J47" s="4">
        <v>18</v>
      </c>
      <c r="K47" s="4">
        <v>0.19727272700000001</v>
      </c>
      <c r="N47" s="4">
        <v>711.36</v>
      </c>
      <c r="O47" s="4" t="b">
        <v>1</v>
      </c>
      <c r="P47" s="4" t="s">
        <v>19</v>
      </c>
    </row>
    <row r="48" spans="1:16" s="4" customFormat="1" x14ac:dyDescent="0.25">
      <c r="A48" s="3">
        <v>260517000000000</v>
      </c>
      <c r="B48" s="4">
        <v>919</v>
      </c>
      <c r="C48" s="4">
        <v>4191</v>
      </c>
      <c r="D48" s="4" t="s">
        <v>16</v>
      </c>
      <c r="E48" s="4" t="s">
        <v>110</v>
      </c>
      <c r="F48" s="4">
        <v>41.12</v>
      </c>
      <c r="G48" s="4">
        <v>1</v>
      </c>
      <c r="H48" s="4" t="s">
        <v>111</v>
      </c>
      <c r="I48" s="4">
        <v>40.82</v>
      </c>
      <c r="J48" s="4">
        <v>2</v>
      </c>
      <c r="K48" s="4">
        <v>2.7272727E-2</v>
      </c>
      <c r="N48" s="4">
        <v>81.64</v>
      </c>
      <c r="O48" s="4" t="b">
        <v>1</v>
      </c>
      <c r="P48" s="4" t="s">
        <v>19</v>
      </c>
    </row>
    <row r="49" spans="1:16" s="4" customFormat="1" x14ac:dyDescent="0.25">
      <c r="A49" s="3">
        <v>260514000000000</v>
      </c>
      <c r="B49" s="4">
        <v>919</v>
      </c>
      <c r="C49" s="4">
        <v>4191</v>
      </c>
      <c r="D49" s="4" t="s">
        <v>16</v>
      </c>
      <c r="E49" s="4" t="s">
        <v>112</v>
      </c>
      <c r="G49" s="4">
        <v>1</v>
      </c>
      <c r="H49" s="4" t="s">
        <v>113</v>
      </c>
      <c r="I49" s="4">
        <v>42.04</v>
      </c>
      <c r="J49" s="4">
        <v>2</v>
      </c>
      <c r="K49" s="4">
        <v>2.7272727E-2</v>
      </c>
      <c r="N49" s="4">
        <v>84.08</v>
      </c>
      <c r="O49" s="4" t="b">
        <v>1</v>
      </c>
      <c r="P49" s="4" t="s">
        <v>19</v>
      </c>
    </row>
    <row r="50" spans="1:16" s="4" customFormat="1" x14ac:dyDescent="0.25">
      <c r="A50" s="3">
        <v>260513000000000</v>
      </c>
      <c r="B50" s="4">
        <v>919</v>
      </c>
      <c r="C50" s="4">
        <v>4191</v>
      </c>
      <c r="D50" s="4" t="s">
        <v>16</v>
      </c>
      <c r="E50" s="4" t="s">
        <v>114</v>
      </c>
      <c r="F50" s="4">
        <v>42.58</v>
      </c>
      <c r="G50" s="4">
        <v>1</v>
      </c>
      <c r="H50" s="4" t="s">
        <v>115</v>
      </c>
      <c r="I50" s="4">
        <v>42.56</v>
      </c>
      <c r="J50" s="4">
        <v>2</v>
      </c>
      <c r="K50" s="4">
        <v>2.7272727E-2</v>
      </c>
      <c r="N50" s="4">
        <v>85.12</v>
      </c>
      <c r="O50" s="4" t="b">
        <v>1</v>
      </c>
      <c r="P50" s="4" t="s">
        <v>19</v>
      </c>
    </row>
    <row r="51" spans="1:16" s="4" customFormat="1" x14ac:dyDescent="0.25">
      <c r="A51" s="3">
        <v>260512000000000</v>
      </c>
      <c r="B51" s="4">
        <v>919</v>
      </c>
      <c r="C51" s="4">
        <v>4191</v>
      </c>
      <c r="D51" s="4" t="s">
        <v>16</v>
      </c>
      <c r="E51" s="4" t="s">
        <v>116</v>
      </c>
      <c r="F51" s="4">
        <v>42.48</v>
      </c>
      <c r="G51" s="4">
        <v>1</v>
      </c>
      <c r="H51" s="4" t="s">
        <v>117</v>
      </c>
      <c r="I51" s="4">
        <v>42.46</v>
      </c>
      <c r="J51" s="4">
        <v>2</v>
      </c>
      <c r="K51" s="4">
        <v>2.7272727E-2</v>
      </c>
      <c r="N51" s="4">
        <v>84.92</v>
      </c>
      <c r="O51" s="4" t="b">
        <v>1</v>
      </c>
      <c r="P51" s="4" t="s">
        <v>19</v>
      </c>
    </row>
    <row r="52" spans="1:16" s="2" customFormat="1" x14ac:dyDescent="0.25">
      <c r="A52" s="1">
        <v>260520000000000</v>
      </c>
      <c r="B52" s="2">
        <v>925</v>
      </c>
      <c r="C52" s="2">
        <v>8070</v>
      </c>
      <c r="D52" s="2" t="s">
        <v>16</v>
      </c>
      <c r="E52" s="2" t="s">
        <v>118</v>
      </c>
      <c r="F52" s="2">
        <v>11.96</v>
      </c>
      <c r="G52" s="2">
        <v>2</v>
      </c>
      <c r="H52" s="2" t="s">
        <v>119</v>
      </c>
      <c r="I52" s="2">
        <v>11.77</v>
      </c>
      <c r="J52" s="2">
        <v>8</v>
      </c>
      <c r="K52" s="2">
        <v>3.6496349999999997E-2</v>
      </c>
      <c r="L52" s="2">
        <v>6.3977040000000001</v>
      </c>
      <c r="M52" s="2">
        <v>7.29</v>
      </c>
      <c r="N52" s="2">
        <v>94.16</v>
      </c>
      <c r="O52" s="2" t="b">
        <v>1</v>
      </c>
      <c r="P52" s="2" t="s">
        <v>19</v>
      </c>
    </row>
    <row r="53" spans="1:16" s="2" customFormat="1" x14ac:dyDescent="0.25">
      <c r="A53" s="1">
        <v>260513000000000</v>
      </c>
      <c r="B53" s="2">
        <v>925</v>
      </c>
      <c r="C53" s="2">
        <v>8070</v>
      </c>
      <c r="D53" s="2" t="s">
        <v>16</v>
      </c>
      <c r="E53" s="2" t="s">
        <v>120</v>
      </c>
      <c r="F53" s="2">
        <v>10.97</v>
      </c>
      <c r="G53" s="2">
        <v>1</v>
      </c>
      <c r="H53" s="2" t="s">
        <v>121</v>
      </c>
      <c r="I53" s="2">
        <v>10.95</v>
      </c>
      <c r="J53" s="2">
        <v>49</v>
      </c>
      <c r="K53" s="2">
        <v>0.16</v>
      </c>
      <c r="N53" s="2">
        <v>536.54999999999995</v>
      </c>
      <c r="O53" s="2" t="b">
        <v>1</v>
      </c>
      <c r="P53" s="2" t="s">
        <v>19</v>
      </c>
    </row>
    <row r="54" spans="1:16" s="2" customFormat="1" x14ac:dyDescent="0.25">
      <c r="A54" s="1">
        <v>260512000000000</v>
      </c>
      <c r="B54" s="2">
        <v>925</v>
      </c>
      <c r="C54" s="2">
        <v>8070</v>
      </c>
      <c r="D54" s="2" t="s">
        <v>16</v>
      </c>
      <c r="E54" s="2" t="s">
        <v>122</v>
      </c>
      <c r="F54" s="2">
        <v>11</v>
      </c>
      <c r="G54" s="2">
        <v>1</v>
      </c>
      <c r="H54" s="2" t="s">
        <v>123</v>
      </c>
      <c r="I54" s="2">
        <v>10.96</v>
      </c>
      <c r="J54" s="2">
        <v>58</v>
      </c>
      <c r="K54" s="2">
        <v>0.16</v>
      </c>
      <c r="N54" s="2">
        <v>635.67999999999995</v>
      </c>
      <c r="O54" s="2" t="b">
        <v>1</v>
      </c>
      <c r="P54" s="2" t="s">
        <v>19</v>
      </c>
    </row>
    <row r="55" spans="1:16" s="4" customFormat="1" x14ac:dyDescent="0.25">
      <c r="A55" s="3">
        <v>260519000000000</v>
      </c>
      <c r="B55" s="4">
        <v>933</v>
      </c>
      <c r="C55" s="4">
        <v>6010</v>
      </c>
      <c r="D55" s="4" t="s">
        <v>16</v>
      </c>
      <c r="E55" s="4" t="s">
        <v>124</v>
      </c>
      <c r="F55" s="4">
        <v>16.89</v>
      </c>
      <c r="G55" s="4">
        <v>2</v>
      </c>
      <c r="H55" s="4" t="s">
        <v>125</v>
      </c>
      <c r="I55" s="4">
        <v>16.91</v>
      </c>
      <c r="J55" s="4">
        <v>3</v>
      </c>
      <c r="K55" s="4">
        <v>1.9417475999999999E-2</v>
      </c>
      <c r="L55" s="4">
        <v>1.682415</v>
      </c>
      <c r="M55" s="4">
        <v>3.43</v>
      </c>
      <c r="N55" s="4">
        <v>50.73</v>
      </c>
      <c r="O55" s="4" t="b">
        <v>1</v>
      </c>
      <c r="P55" s="4" t="s">
        <v>19</v>
      </c>
    </row>
    <row r="56" spans="1:16" s="4" customFormat="1" x14ac:dyDescent="0.25">
      <c r="A56" s="3">
        <v>260518000000000</v>
      </c>
      <c r="B56" s="4">
        <v>933</v>
      </c>
      <c r="C56" s="4">
        <v>6010</v>
      </c>
      <c r="D56" s="4" t="s">
        <v>16</v>
      </c>
      <c r="E56" s="4" t="s">
        <v>126</v>
      </c>
      <c r="F56" s="4">
        <v>16.23</v>
      </c>
      <c r="G56" s="4">
        <v>1</v>
      </c>
      <c r="H56" s="4" t="s">
        <v>127</v>
      </c>
      <c r="I56" s="4">
        <v>16.23</v>
      </c>
      <c r="J56" s="4">
        <v>34</v>
      </c>
      <c r="K56" s="4">
        <v>0.16504854399999999</v>
      </c>
      <c r="N56" s="4">
        <v>551.82000000000005</v>
      </c>
      <c r="O56" s="4" t="b">
        <v>1</v>
      </c>
      <c r="P56" s="4" t="s">
        <v>19</v>
      </c>
    </row>
    <row r="57" spans="1:16" s="4" customFormat="1" x14ac:dyDescent="0.25">
      <c r="A57" s="3">
        <v>260514000000000</v>
      </c>
      <c r="B57" s="4">
        <v>933</v>
      </c>
      <c r="C57" s="4">
        <v>6010</v>
      </c>
      <c r="D57" s="4" t="s">
        <v>16</v>
      </c>
      <c r="E57" s="4" t="s">
        <v>128</v>
      </c>
      <c r="F57" s="4">
        <v>16.399999999999999</v>
      </c>
      <c r="G57" s="4">
        <v>1</v>
      </c>
      <c r="H57" s="4" t="s">
        <v>129</v>
      </c>
      <c r="I57" s="4">
        <v>16.399999999999999</v>
      </c>
      <c r="J57" s="4">
        <v>40</v>
      </c>
      <c r="K57" s="4">
        <v>0.16504854399999999</v>
      </c>
      <c r="N57" s="4">
        <v>656</v>
      </c>
      <c r="O57" s="4" t="b">
        <v>1</v>
      </c>
      <c r="P57" s="4" t="s">
        <v>19</v>
      </c>
    </row>
    <row r="58" spans="1:16" s="2" customFormat="1" x14ac:dyDescent="0.25">
      <c r="A58" s="1">
        <v>260520000000000</v>
      </c>
      <c r="B58" s="2">
        <v>896</v>
      </c>
      <c r="C58" s="2">
        <v>4210</v>
      </c>
      <c r="D58" s="2" t="s">
        <v>16</v>
      </c>
      <c r="E58" s="2" t="s">
        <v>130</v>
      </c>
      <c r="F58" s="2">
        <v>75.2</v>
      </c>
      <c r="G58" s="2">
        <v>1</v>
      </c>
      <c r="H58" s="2" t="s">
        <v>131</v>
      </c>
      <c r="I58" s="2">
        <v>75.349999999999994</v>
      </c>
      <c r="J58" s="2">
        <v>1</v>
      </c>
      <c r="K58" s="2">
        <v>4.2253521000000002E-2</v>
      </c>
      <c r="N58" s="2">
        <v>75.349999999999994</v>
      </c>
      <c r="O58" s="2" t="b">
        <v>1</v>
      </c>
      <c r="P58" s="2" t="s">
        <v>19</v>
      </c>
    </row>
    <row r="59" spans="1:16" s="2" customFormat="1" x14ac:dyDescent="0.25">
      <c r="A59" s="1">
        <v>260519000000000</v>
      </c>
      <c r="B59" s="2">
        <v>896</v>
      </c>
      <c r="C59" s="2">
        <v>4210</v>
      </c>
      <c r="D59" s="2" t="s">
        <v>16</v>
      </c>
      <c r="E59" s="2" t="s">
        <v>132</v>
      </c>
      <c r="F59" s="2">
        <v>76</v>
      </c>
      <c r="G59" s="2">
        <v>1</v>
      </c>
      <c r="H59" s="2" t="s">
        <v>133</v>
      </c>
      <c r="I59" s="2">
        <v>75.95</v>
      </c>
      <c r="J59" s="2">
        <v>1</v>
      </c>
      <c r="K59" s="2">
        <v>4.2253521000000002E-2</v>
      </c>
      <c r="N59" s="2">
        <v>75.95</v>
      </c>
      <c r="O59" s="2" t="b">
        <v>1</v>
      </c>
      <c r="P59" s="2" t="s">
        <v>19</v>
      </c>
    </row>
    <row r="60" spans="1:16" s="2" customFormat="1" x14ac:dyDescent="0.25">
      <c r="A60" s="1">
        <v>260518000000000</v>
      </c>
      <c r="B60" s="2">
        <v>896</v>
      </c>
      <c r="C60" s="2">
        <v>4210</v>
      </c>
      <c r="D60" s="2" t="s">
        <v>16</v>
      </c>
      <c r="E60" s="2" t="s">
        <v>134</v>
      </c>
      <c r="F60" s="2">
        <v>76.400000000000006</v>
      </c>
      <c r="G60" s="2">
        <v>1</v>
      </c>
      <c r="H60" s="2" t="s">
        <v>135</v>
      </c>
      <c r="I60" s="2">
        <v>77.599999999999994</v>
      </c>
      <c r="J60" s="2">
        <v>1</v>
      </c>
      <c r="K60" s="2">
        <v>4.2253521000000002E-2</v>
      </c>
      <c r="N60" s="2">
        <v>77.599999999999994</v>
      </c>
      <c r="O60" s="2" t="b">
        <v>1</v>
      </c>
      <c r="P60" s="2" t="s">
        <v>19</v>
      </c>
    </row>
    <row r="61" spans="1:16" s="2" customFormat="1" x14ac:dyDescent="0.25">
      <c r="A61" s="1">
        <v>260517000000000</v>
      </c>
      <c r="B61" s="2">
        <v>896</v>
      </c>
      <c r="C61" s="2">
        <v>4210</v>
      </c>
      <c r="D61" s="2" t="s">
        <v>16</v>
      </c>
      <c r="E61" s="2" t="s">
        <v>136</v>
      </c>
      <c r="F61" s="2">
        <v>76</v>
      </c>
      <c r="G61" s="2">
        <v>1</v>
      </c>
      <c r="H61" s="2" t="s">
        <v>137</v>
      </c>
      <c r="I61" s="2">
        <v>76.150000000000006</v>
      </c>
      <c r="J61" s="2">
        <v>1</v>
      </c>
      <c r="K61" s="2">
        <v>4.2253521000000002E-2</v>
      </c>
      <c r="N61" s="2">
        <v>76.150000000000006</v>
      </c>
      <c r="O61" s="2" t="b">
        <v>1</v>
      </c>
      <c r="P61" s="2" t="s">
        <v>19</v>
      </c>
    </row>
    <row r="62" spans="1:16" s="2" customFormat="1" x14ac:dyDescent="0.25">
      <c r="A62" s="1">
        <v>260514000000000</v>
      </c>
      <c r="B62" s="2">
        <v>896</v>
      </c>
      <c r="C62" s="2">
        <v>4210</v>
      </c>
      <c r="D62" s="2" t="s">
        <v>16</v>
      </c>
      <c r="E62" s="2" t="s">
        <v>138</v>
      </c>
      <c r="F62" s="2">
        <v>75.349999999999994</v>
      </c>
      <c r="G62" s="2">
        <v>1</v>
      </c>
      <c r="H62" s="2" t="s">
        <v>139</v>
      </c>
      <c r="I62" s="2">
        <v>75.150000000000006</v>
      </c>
      <c r="J62" s="2">
        <v>1</v>
      </c>
      <c r="K62" s="2">
        <v>4.2253521000000002E-2</v>
      </c>
      <c r="N62" s="2">
        <v>75.150000000000006</v>
      </c>
      <c r="O62" s="2" t="b">
        <v>1</v>
      </c>
      <c r="P62" s="2" t="s">
        <v>19</v>
      </c>
    </row>
    <row r="63" spans="1:16" s="2" customFormat="1" x14ac:dyDescent="0.25">
      <c r="A63" s="1">
        <v>260513000000000</v>
      </c>
      <c r="B63" s="2">
        <v>896</v>
      </c>
      <c r="C63" s="2">
        <v>4210</v>
      </c>
      <c r="D63" s="2" t="s">
        <v>16</v>
      </c>
      <c r="E63" s="2" t="s">
        <v>140</v>
      </c>
      <c r="F63" s="2">
        <v>75.3</v>
      </c>
      <c r="G63" s="2">
        <v>1</v>
      </c>
      <c r="H63" s="2" t="s">
        <v>141</v>
      </c>
      <c r="I63" s="2">
        <v>75.55</v>
      </c>
      <c r="J63" s="2">
        <v>2</v>
      </c>
      <c r="K63" s="2">
        <v>4.2253521000000002E-2</v>
      </c>
      <c r="N63" s="2">
        <v>151.1</v>
      </c>
      <c r="O63" s="2" t="b">
        <v>1</v>
      </c>
      <c r="P63" s="2" t="s">
        <v>19</v>
      </c>
    </row>
    <row r="64" spans="1:16" s="2" customFormat="1" x14ac:dyDescent="0.25">
      <c r="A64" s="1">
        <v>260512000000000</v>
      </c>
      <c r="B64" s="2">
        <v>896</v>
      </c>
      <c r="C64" s="2">
        <v>4210</v>
      </c>
      <c r="D64" s="2" t="s">
        <v>16</v>
      </c>
      <c r="E64" s="2" t="s">
        <v>142</v>
      </c>
      <c r="F64" s="2">
        <v>77.349999999999994</v>
      </c>
      <c r="G64" s="2">
        <v>1</v>
      </c>
      <c r="H64" s="2" t="s">
        <v>143</v>
      </c>
      <c r="I64" s="2">
        <v>77.25</v>
      </c>
      <c r="J64" s="2">
        <v>2</v>
      </c>
      <c r="K64" s="2">
        <v>4.2253521000000002E-2</v>
      </c>
      <c r="N64" s="2">
        <v>154.5</v>
      </c>
      <c r="O64" s="2" t="b">
        <v>1</v>
      </c>
      <c r="P64" s="2" t="s">
        <v>19</v>
      </c>
    </row>
    <row r="65" spans="1:16" s="2" customFormat="1" x14ac:dyDescent="0.25">
      <c r="A65" s="1">
        <v>260511000000000</v>
      </c>
      <c r="B65" s="2">
        <v>896</v>
      </c>
      <c r="C65" s="2">
        <v>4210</v>
      </c>
      <c r="D65" s="2" t="s">
        <v>16</v>
      </c>
      <c r="E65" s="2" t="s">
        <v>144</v>
      </c>
      <c r="F65" s="2">
        <v>77.75</v>
      </c>
      <c r="G65" s="2">
        <v>1</v>
      </c>
      <c r="H65" s="2" t="s">
        <v>145</v>
      </c>
      <c r="I65" s="2">
        <v>77.95</v>
      </c>
      <c r="J65" s="2">
        <v>2</v>
      </c>
      <c r="K65" s="2">
        <v>4.2253521000000002E-2</v>
      </c>
      <c r="N65" s="2">
        <v>155.9</v>
      </c>
      <c r="O65" s="2" t="b">
        <v>1</v>
      </c>
      <c r="P65" s="2" t="s">
        <v>19</v>
      </c>
    </row>
    <row r="66" spans="1:16" s="4" customFormat="1" x14ac:dyDescent="0.25">
      <c r="A66" s="3">
        <v>260517000000000</v>
      </c>
      <c r="B66" s="4">
        <v>927</v>
      </c>
      <c r="C66" s="4">
        <v>8230</v>
      </c>
      <c r="D66" s="4" t="s">
        <v>16</v>
      </c>
      <c r="E66" s="4" t="s">
        <v>146</v>
      </c>
      <c r="F66" s="4">
        <v>102</v>
      </c>
      <c r="G66" s="4">
        <v>1</v>
      </c>
      <c r="H66" s="4" t="s">
        <v>147</v>
      </c>
      <c r="I66" s="4">
        <v>102.5</v>
      </c>
      <c r="J66" s="4">
        <v>4</v>
      </c>
      <c r="K66" s="4">
        <v>0.19</v>
      </c>
      <c r="N66" s="4">
        <v>410</v>
      </c>
      <c r="O66" s="4" t="b">
        <v>1</v>
      </c>
      <c r="P66" s="4" t="s">
        <v>19</v>
      </c>
    </row>
    <row r="67" spans="1:16" s="4" customFormat="1" x14ac:dyDescent="0.25">
      <c r="A67" s="3">
        <v>260513000000000</v>
      </c>
      <c r="B67" s="4">
        <v>927</v>
      </c>
      <c r="C67" s="4">
        <v>8230</v>
      </c>
      <c r="D67" s="4" t="s">
        <v>16</v>
      </c>
      <c r="E67" s="4" t="s">
        <v>148</v>
      </c>
      <c r="F67" s="4">
        <v>103.4</v>
      </c>
      <c r="G67" s="4">
        <v>1</v>
      </c>
      <c r="H67" s="4" t="s">
        <v>149</v>
      </c>
      <c r="I67" s="4">
        <v>103</v>
      </c>
      <c r="J67" s="4">
        <v>6</v>
      </c>
      <c r="K67" s="4">
        <v>0.19</v>
      </c>
      <c r="N67" s="4">
        <v>618</v>
      </c>
      <c r="O67" s="4" t="b">
        <v>1</v>
      </c>
      <c r="P67" s="4" t="s">
        <v>19</v>
      </c>
    </row>
    <row r="68" spans="1:16" s="4" customFormat="1" x14ac:dyDescent="0.25">
      <c r="A68" s="3">
        <v>260512000000000</v>
      </c>
      <c r="B68" s="4">
        <v>927</v>
      </c>
      <c r="C68" s="4">
        <v>8230</v>
      </c>
      <c r="D68" s="4" t="s">
        <v>16</v>
      </c>
      <c r="E68" s="4" t="s">
        <v>150</v>
      </c>
      <c r="F68" s="4">
        <v>104.1</v>
      </c>
      <c r="G68" s="4">
        <v>1</v>
      </c>
      <c r="H68" s="4" t="s">
        <v>151</v>
      </c>
      <c r="I68" s="4">
        <v>104.1</v>
      </c>
      <c r="J68" s="4">
        <v>7</v>
      </c>
      <c r="K68" s="4">
        <v>0.19</v>
      </c>
      <c r="N68" s="4">
        <v>728.7</v>
      </c>
      <c r="O68" s="4" t="b">
        <v>1</v>
      </c>
      <c r="P68" s="4" t="s">
        <v>19</v>
      </c>
    </row>
    <row r="69" spans="1:16" s="2" customFormat="1" x14ac:dyDescent="0.25">
      <c r="A69" s="1">
        <v>260521000000000</v>
      </c>
      <c r="B69" s="2">
        <v>910</v>
      </c>
      <c r="C69" s="2">
        <v>8040</v>
      </c>
      <c r="D69" s="2" t="s">
        <v>16</v>
      </c>
      <c r="E69" s="2" t="s">
        <v>152</v>
      </c>
      <c r="F69" s="2">
        <v>8.56</v>
      </c>
      <c r="G69" s="2">
        <v>1</v>
      </c>
      <c r="H69" s="2" t="s">
        <v>153</v>
      </c>
      <c r="J69" s="2">
        <v>13</v>
      </c>
      <c r="K69" s="2">
        <v>3.8647343000000001E-2</v>
      </c>
      <c r="N69" s="2">
        <v>0</v>
      </c>
      <c r="O69" s="2" t="b">
        <v>0</v>
      </c>
      <c r="P69" s="2" t="s">
        <v>19</v>
      </c>
    </row>
    <row r="70" spans="1:16" s="2" customFormat="1" x14ac:dyDescent="0.25">
      <c r="A70" s="1">
        <v>260520000000000</v>
      </c>
      <c r="B70" s="2">
        <v>910</v>
      </c>
      <c r="C70" s="2">
        <v>8040</v>
      </c>
      <c r="D70" s="2" t="s">
        <v>16</v>
      </c>
      <c r="E70" s="2" t="s">
        <v>154</v>
      </c>
      <c r="F70" s="2">
        <v>8.49</v>
      </c>
      <c r="G70" s="2">
        <v>1</v>
      </c>
      <c r="H70" s="2" t="s">
        <v>155</v>
      </c>
      <c r="I70" s="2">
        <v>8.43</v>
      </c>
      <c r="J70" s="2">
        <v>13</v>
      </c>
      <c r="K70" s="2">
        <v>3.8647343000000001E-2</v>
      </c>
      <c r="N70" s="2">
        <v>109.59</v>
      </c>
      <c r="O70" s="2" t="b">
        <v>1</v>
      </c>
      <c r="P70" s="2" t="s">
        <v>19</v>
      </c>
    </row>
    <row r="71" spans="1:16" s="2" customFormat="1" x14ac:dyDescent="0.25">
      <c r="A71" s="1">
        <v>260519000000000</v>
      </c>
      <c r="B71" s="2">
        <v>910</v>
      </c>
      <c r="C71" s="2">
        <v>8040</v>
      </c>
      <c r="D71" s="2" t="s">
        <v>16</v>
      </c>
      <c r="E71" s="2" t="s">
        <v>156</v>
      </c>
      <c r="F71" s="2">
        <v>8.6199999999999992</v>
      </c>
      <c r="G71" s="2">
        <v>1</v>
      </c>
      <c r="H71" s="2" t="s">
        <v>157</v>
      </c>
      <c r="I71" s="2">
        <v>8.6199999999999992</v>
      </c>
      <c r="J71" s="2">
        <v>14</v>
      </c>
      <c r="K71" s="2">
        <v>3.8647343000000001E-2</v>
      </c>
      <c r="N71" s="2">
        <v>120.68</v>
      </c>
      <c r="O71" s="2" t="b">
        <v>1</v>
      </c>
      <c r="P71" s="2" t="s">
        <v>19</v>
      </c>
    </row>
    <row r="72" spans="1:16" s="2" customFormat="1" x14ac:dyDescent="0.25">
      <c r="A72" s="1">
        <v>260518000000000</v>
      </c>
      <c r="B72" s="2">
        <v>910</v>
      </c>
      <c r="C72" s="2">
        <v>8040</v>
      </c>
      <c r="D72" s="2" t="s">
        <v>16</v>
      </c>
      <c r="E72" s="2" t="s">
        <v>158</v>
      </c>
      <c r="F72" s="2">
        <v>8.57</v>
      </c>
      <c r="G72" s="2">
        <v>1</v>
      </c>
      <c r="H72" s="2" t="s">
        <v>159</v>
      </c>
      <c r="I72" s="2">
        <v>8.61</v>
      </c>
      <c r="J72" s="2">
        <v>14</v>
      </c>
      <c r="K72" s="2">
        <v>3.8647343000000001E-2</v>
      </c>
      <c r="N72" s="2">
        <v>120.54</v>
      </c>
      <c r="O72" s="2" t="b">
        <v>1</v>
      </c>
      <c r="P72" s="2" t="s">
        <v>19</v>
      </c>
    </row>
    <row r="73" spans="1:16" s="2" customFormat="1" x14ac:dyDescent="0.25">
      <c r="A73" s="1">
        <v>260517000000000</v>
      </c>
      <c r="B73" s="2">
        <v>910</v>
      </c>
      <c r="C73" s="2">
        <v>8040</v>
      </c>
      <c r="D73" s="2" t="s">
        <v>16</v>
      </c>
      <c r="E73" s="2" t="s">
        <v>160</v>
      </c>
      <c r="F73" s="2">
        <v>8.73</v>
      </c>
      <c r="G73" s="2">
        <v>1</v>
      </c>
      <c r="H73" s="2" t="s">
        <v>161</v>
      </c>
      <c r="I73" s="2">
        <v>8.7200000000000006</v>
      </c>
      <c r="J73" s="2">
        <v>15</v>
      </c>
      <c r="K73" s="2">
        <v>3.8647343000000001E-2</v>
      </c>
      <c r="N73" s="2">
        <v>130.80000000000001</v>
      </c>
      <c r="O73" s="2" t="b">
        <v>1</v>
      </c>
      <c r="P73" s="2" t="s">
        <v>19</v>
      </c>
    </row>
    <row r="74" spans="1:16" s="2" customFormat="1" x14ac:dyDescent="0.25">
      <c r="A74" s="1">
        <v>260514000000000</v>
      </c>
      <c r="B74" s="2">
        <v>910</v>
      </c>
      <c r="C74" s="2">
        <v>8040</v>
      </c>
      <c r="D74" s="2" t="s">
        <v>16</v>
      </c>
      <c r="E74" s="2" t="s">
        <v>162</v>
      </c>
      <c r="F74" s="2">
        <v>8.6199999999999992</v>
      </c>
      <c r="G74" s="2">
        <v>1</v>
      </c>
      <c r="H74" s="2" t="s">
        <v>163</v>
      </c>
      <c r="I74" s="2">
        <v>8.6300000000000008</v>
      </c>
      <c r="J74" s="2">
        <v>16</v>
      </c>
      <c r="K74" s="2">
        <v>3.8647343000000001E-2</v>
      </c>
      <c r="N74" s="2">
        <v>138.08000000000001</v>
      </c>
      <c r="O74" s="2" t="b">
        <v>1</v>
      </c>
      <c r="P74" s="2" t="s">
        <v>19</v>
      </c>
    </row>
    <row r="75" spans="1:16" s="2" customFormat="1" x14ac:dyDescent="0.25">
      <c r="A75" s="1">
        <v>260513000000000</v>
      </c>
      <c r="B75" s="2">
        <v>910</v>
      </c>
      <c r="C75" s="2">
        <v>8040</v>
      </c>
      <c r="D75" s="2" t="s">
        <v>16</v>
      </c>
      <c r="E75" s="2" t="s">
        <v>164</v>
      </c>
      <c r="F75" s="2">
        <v>8.7100000000000009</v>
      </c>
      <c r="G75" s="2">
        <v>1</v>
      </c>
      <c r="H75" s="2" t="s">
        <v>165</v>
      </c>
      <c r="I75" s="2">
        <v>8.68</v>
      </c>
      <c r="J75" s="2">
        <v>16</v>
      </c>
      <c r="K75" s="2">
        <v>3.8647343000000001E-2</v>
      </c>
      <c r="N75" s="2">
        <v>138.88</v>
      </c>
      <c r="O75" s="2" t="b">
        <v>1</v>
      </c>
      <c r="P75" s="2" t="s">
        <v>19</v>
      </c>
    </row>
    <row r="76" spans="1:16" s="2" customFormat="1" x14ac:dyDescent="0.25">
      <c r="A76" s="1">
        <v>260512000000000</v>
      </c>
      <c r="B76" s="2">
        <v>910</v>
      </c>
      <c r="C76" s="2">
        <v>8040</v>
      </c>
      <c r="D76" s="2" t="s">
        <v>16</v>
      </c>
      <c r="E76" s="2" t="s">
        <v>166</v>
      </c>
      <c r="G76" s="2">
        <v>1</v>
      </c>
      <c r="H76" s="2" t="s">
        <v>167</v>
      </c>
      <c r="I76" s="2">
        <v>8.7899999999999991</v>
      </c>
      <c r="J76" s="2">
        <v>16</v>
      </c>
      <c r="K76" s="2">
        <v>3.8647343000000001E-2</v>
      </c>
      <c r="N76" s="2">
        <v>140.63999999999999</v>
      </c>
      <c r="O76" s="2" t="b">
        <v>1</v>
      </c>
      <c r="P76" s="2" t="s">
        <v>19</v>
      </c>
    </row>
    <row r="77" spans="1:16" s="2" customFormat="1" x14ac:dyDescent="0.25">
      <c r="A77" s="1">
        <v>260511000000000</v>
      </c>
      <c r="B77" s="2">
        <v>910</v>
      </c>
      <c r="C77" s="2">
        <v>8040</v>
      </c>
      <c r="D77" s="2" t="s">
        <v>16</v>
      </c>
      <c r="E77" s="2" t="s">
        <v>168</v>
      </c>
      <c r="F77" s="2">
        <v>8.9499999999999993</v>
      </c>
      <c r="G77" s="2">
        <v>1</v>
      </c>
      <c r="H77" s="2" t="s">
        <v>169</v>
      </c>
      <c r="I77" s="2">
        <v>8.92</v>
      </c>
      <c r="J77" s="2">
        <v>17</v>
      </c>
      <c r="K77" s="2">
        <v>3.8647343000000001E-2</v>
      </c>
      <c r="N77" s="2">
        <v>151.63999999999999</v>
      </c>
      <c r="O77" s="2" t="b">
        <v>1</v>
      </c>
      <c r="P77" s="2" t="s">
        <v>19</v>
      </c>
    </row>
    <row r="78" spans="1:16" s="4" customFormat="1" x14ac:dyDescent="0.25">
      <c r="A78" s="3">
        <v>260518000000000</v>
      </c>
      <c r="B78" s="4">
        <v>914</v>
      </c>
      <c r="C78" s="4">
        <v>2200</v>
      </c>
      <c r="D78" s="4" t="s">
        <v>16</v>
      </c>
      <c r="E78" s="4" t="s">
        <v>170</v>
      </c>
      <c r="F78" s="4">
        <v>6.85</v>
      </c>
      <c r="G78" s="4">
        <v>1</v>
      </c>
      <c r="H78" s="4" t="s">
        <v>171</v>
      </c>
      <c r="I78" s="4">
        <v>6.87</v>
      </c>
      <c r="J78" s="4">
        <v>43</v>
      </c>
      <c r="K78" s="4">
        <v>0.09</v>
      </c>
      <c r="N78" s="4">
        <v>295.41000000000003</v>
      </c>
      <c r="O78" s="4" t="b">
        <v>1</v>
      </c>
      <c r="P78" s="4" t="s">
        <v>19</v>
      </c>
    </row>
    <row r="79" spans="1:16" s="4" customFormat="1" x14ac:dyDescent="0.25">
      <c r="A79" s="3">
        <v>260517000000000</v>
      </c>
      <c r="B79" s="4">
        <v>914</v>
      </c>
      <c r="C79" s="4">
        <v>2200</v>
      </c>
      <c r="D79" s="4" t="s">
        <v>16</v>
      </c>
      <c r="E79" s="4" t="s">
        <v>172</v>
      </c>
      <c r="F79" s="4">
        <v>6.89</v>
      </c>
      <c r="G79" s="4">
        <v>1</v>
      </c>
      <c r="H79" s="4" t="s">
        <v>173</v>
      </c>
      <c r="I79" s="4">
        <v>6.91</v>
      </c>
      <c r="J79" s="4">
        <v>47</v>
      </c>
      <c r="K79" s="4">
        <v>0.09</v>
      </c>
      <c r="N79" s="4">
        <v>324.77</v>
      </c>
      <c r="O79" s="4" t="b">
        <v>1</v>
      </c>
      <c r="P79" s="4" t="s">
        <v>19</v>
      </c>
    </row>
    <row r="80" spans="1:16" s="4" customFormat="1" x14ac:dyDescent="0.25">
      <c r="A80" s="3">
        <v>260511000000000</v>
      </c>
      <c r="B80" s="4">
        <v>914</v>
      </c>
      <c r="C80" s="4">
        <v>2200</v>
      </c>
      <c r="D80" s="4" t="s">
        <v>16</v>
      </c>
      <c r="E80" s="4" t="s">
        <v>174</v>
      </c>
      <c r="F80" s="4">
        <v>6.97</v>
      </c>
      <c r="G80" s="4">
        <v>1</v>
      </c>
      <c r="H80" s="4" t="s">
        <v>175</v>
      </c>
      <c r="I80" s="4">
        <v>7.01</v>
      </c>
      <c r="J80" s="4">
        <v>51</v>
      </c>
      <c r="K80" s="4">
        <v>0.09</v>
      </c>
      <c r="N80" s="4">
        <v>357.51</v>
      </c>
      <c r="O80" s="4" t="b">
        <v>1</v>
      </c>
      <c r="P80" s="4" t="s">
        <v>19</v>
      </c>
    </row>
    <row r="81" spans="1:16" s="2" customFormat="1" x14ac:dyDescent="0.25">
      <c r="A81" s="1">
        <v>260521000000000</v>
      </c>
      <c r="B81" s="2">
        <v>911</v>
      </c>
      <c r="C81" s="2">
        <v>8170</v>
      </c>
      <c r="D81" s="2" t="s">
        <v>16</v>
      </c>
      <c r="E81" s="2" t="s">
        <v>176</v>
      </c>
      <c r="F81" s="2">
        <v>5.83</v>
      </c>
      <c r="G81" s="2">
        <v>1</v>
      </c>
      <c r="H81" s="2" t="s">
        <v>177</v>
      </c>
      <c r="J81" s="2">
        <v>16</v>
      </c>
      <c r="K81" s="2">
        <v>0.11688311699999999</v>
      </c>
      <c r="N81" s="2">
        <v>0</v>
      </c>
      <c r="O81" s="2" t="b">
        <v>0</v>
      </c>
      <c r="P81" s="2" t="s">
        <v>19</v>
      </c>
    </row>
    <row r="82" spans="1:16" s="2" customFormat="1" x14ac:dyDescent="0.25">
      <c r="A82" s="1">
        <v>260519000000000</v>
      </c>
      <c r="B82" s="2">
        <v>911</v>
      </c>
      <c r="C82" s="2">
        <v>8170</v>
      </c>
      <c r="D82" s="2" t="s">
        <v>16</v>
      </c>
      <c r="E82" s="2" t="s">
        <v>178</v>
      </c>
      <c r="F82" s="2">
        <v>5.81</v>
      </c>
      <c r="G82" s="2">
        <v>1</v>
      </c>
      <c r="H82" s="2" t="s">
        <v>179</v>
      </c>
      <c r="I82" s="2">
        <v>5.82</v>
      </c>
      <c r="J82" s="2">
        <v>18</v>
      </c>
      <c r="K82" s="2">
        <v>0.11688311699999999</v>
      </c>
      <c r="N82" s="2">
        <v>104.76</v>
      </c>
      <c r="O82" s="2" t="b">
        <v>1</v>
      </c>
      <c r="P82" s="2" t="s">
        <v>19</v>
      </c>
    </row>
    <row r="83" spans="1:16" s="2" customFormat="1" x14ac:dyDescent="0.25">
      <c r="A83" s="1">
        <v>260518000000000</v>
      </c>
      <c r="B83" s="2">
        <v>911</v>
      </c>
      <c r="C83" s="2">
        <v>8170</v>
      </c>
      <c r="D83" s="2" t="s">
        <v>16</v>
      </c>
      <c r="E83" s="2" t="s">
        <v>180</v>
      </c>
      <c r="F83" s="2">
        <v>5.8</v>
      </c>
      <c r="G83" s="2">
        <v>1</v>
      </c>
      <c r="H83" s="2" t="s">
        <v>181</v>
      </c>
      <c r="I83" s="2">
        <v>5.81</v>
      </c>
      <c r="J83" s="2">
        <v>57</v>
      </c>
      <c r="K83" s="2">
        <v>0.266883117</v>
      </c>
      <c r="N83" s="2">
        <v>331.17</v>
      </c>
      <c r="O83" s="2" t="b">
        <v>1</v>
      </c>
      <c r="P83" s="2" t="s">
        <v>19</v>
      </c>
    </row>
    <row r="84" spans="1:16" s="2" customFormat="1" x14ac:dyDescent="0.25">
      <c r="A84" s="1">
        <v>260517000000000</v>
      </c>
      <c r="B84" s="2">
        <v>911</v>
      </c>
      <c r="C84" s="2">
        <v>8170</v>
      </c>
      <c r="D84" s="2" t="s">
        <v>16</v>
      </c>
      <c r="E84" s="2" t="s">
        <v>182</v>
      </c>
      <c r="F84" s="2">
        <v>5.86</v>
      </c>
      <c r="G84" s="2">
        <v>1</v>
      </c>
      <c r="H84" s="2" t="s">
        <v>183</v>
      </c>
      <c r="I84" s="2">
        <v>5.88</v>
      </c>
      <c r="J84" s="2">
        <v>76</v>
      </c>
      <c r="K84" s="2">
        <v>0.266883117</v>
      </c>
      <c r="N84" s="2">
        <v>446.88</v>
      </c>
      <c r="O84" s="2" t="b">
        <v>1</v>
      </c>
      <c r="P84" s="2" t="s">
        <v>19</v>
      </c>
    </row>
    <row r="85" spans="1:16" s="2" customFormat="1" x14ac:dyDescent="0.25">
      <c r="A85" s="1">
        <v>260514000000000</v>
      </c>
      <c r="B85" s="2">
        <v>911</v>
      </c>
      <c r="C85" s="2">
        <v>8170</v>
      </c>
      <c r="D85" s="2" t="s">
        <v>16</v>
      </c>
      <c r="E85" s="2" t="s">
        <v>184</v>
      </c>
      <c r="F85" s="2">
        <v>5.85</v>
      </c>
      <c r="G85" s="2">
        <v>1</v>
      </c>
      <c r="H85" s="2" t="s">
        <v>185</v>
      </c>
      <c r="I85" s="2">
        <v>5.85</v>
      </c>
      <c r="J85" s="2">
        <v>104</v>
      </c>
      <c r="K85" s="2">
        <v>0.266883117</v>
      </c>
      <c r="N85" s="2">
        <v>608.4</v>
      </c>
      <c r="O85" s="2" t="b">
        <v>1</v>
      </c>
      <c r="P85" s="2" t="s">
        <v>19</v>
      </c>
    </row>
    <row r="86" spans="1:16" s="2" customFormat="1" x14ac:dyDescent="0.25">
      <c r="A86" s="1">
        <v>260513000000000</v>
      </c>
      <c r="B86" s="2">
        <v>911</v>
      </c>
      <c r="C86" s="2">
        <v>8170</v>
      </c>
      <c r="D86" s="2" t="s">
        <v>16</v>
      </c>
      <c r="E86" s="2" t="s">
        <v>186</v>
      </c>
      <c r="F86" s="2">
        <v>5.92</v>
      </c>
      <c r="G86" s="2">
        <v>1</v>
      </c>
      <c r="H86" s="2" t="s">
        <v>187</v>
      </c>
      <c r="I86" s="2">
        <v>5.91</v>
      </c>
      <c r="J86" s="2">
        <v>140</v>
      </c>
      <c r="K86" s="2">
        <v>0.266883117</v>
      </c>
      <c r="N86" s="2">
        <v>827.4</v>
      </c>
      <c r="O86" s="2" t="b">
        <v>1</v>
      </c>
      <c r="P86" s="2" t="s">
        <v>19</v>
      </c>
    </row>
    <row r="87" spans="1:16" s="2" customFormat="1" x14ac:dyDescent="0.25">
      <c r="A87" s="1">
        <v>260512000000000</v>
      </c>
      <c r="B87" s="2">
        <v>911</v>
      </c>
      <c r="C87" s="2">
        <v>8170</v>
      </c>
      <c r="D87" s="2" t="s">
        <v>16</v>
      </c>
      <c r="E87" s="2" t="s">
        <v>188</v>
      </c>
      <c r="F87" s="2">
        <v>5.98</v>
      </c>
      <c r="G87" s="2">
        <v>1</v>
      </c>
      <c r="H87" s="2" t="s">
        <v>189</v>
      </c>
      <c r="I87" s="2">
        <v>5.95</v>
      </c>
      <c r="J87" s="2">
        <v>69</v>
      </c>
      <c r="K87" s="2">
        <v>0.11688311699999999</v>
      </c>
      <c r="N87" s="2">
        <v>410.55</v>
      </c>
      <c r="O87" s="2" t="b">
        <v>1</v>
      </c>
      <c r="P87" s="2" t="s">
        <v>19</v>
      </c>
    </row>
    <row r="88" spans="1:16" s="2" customFormat="1" x14ac:dyDescent="0.25">
      <c r="A88" s="1">
        <v>260511000000000</v>
      </c>
      <c r="B88" s="2">
        <v>911</v>
      </c>
      <c r="C88" s="2">
        <v>8170</v>
      </c>
      <c r="D88" s="2" t="s">
        <v>16</v>
      </c>
      <c r="E88" s="2" t="s">
        <v>190</v>
      </c>
      <c r="F88" s="2">
        <v>6.05</v>
      </c>
      <c r="G88" s="2">
        <v>1</v>
      </c>
      <c r="H88" s="2" t="s">
        <v>191</v>
      </c>
      <c r="I88" s="2">
        <v>6.04</v>
      </c>
      <c r="J88" s="2">
        <v>77</v>
      </c>
      <c r="K88" s="2">
        <v>0.11688311699999999</v>
      </c>
      <c r="N88" s="2">
        <v>465.08</v>
      </c>
      <c r="O88" s="2" t="b">
        <v>1</v>
      </c>
      <c r="P88" s="2" t="s">
        <v>19</v>
      </c>
    </row>
    <row r="89" spans="1:16" s="4" customFormat="1" x14ac:dyDescent="0.25">
      <c r="A89" s="3">
        <v>260521000000000</v>
      </c>
      <c r="B89" s="4">
        <v>917</v>
      </c>
      <c r="C89" s="4">
        <v>4200</v>
      </c>
      <c r="D89" s="4" t="s">
        <v>16</v>
      </c>
      <c r="E89" s="4" t="s">
        <v>192</v>
      </c>
      <c r="F89" s="4">
        <v>114.9</v>
      </c>
      <c r="G89" s="4">
        <v>1</v>
      </c>
      <c r="H89" s="4" t="s">
        <v>193</v>
      </c>
      <c r="J89" s="4">
        <v>1</v>
      </c>
      <c r="K89" s="4">
        <v>0.10204081600000001</v>
      </c>
      <c r="N89" s="4">
        <v>0</v>
      </c>
      <c r="O89" s="4" t="b">
        <v>0</v>
      </c>
      <c r="P89" s="4" t="s">
        <v>19</v>
      </c>
    </row>
    <row r="90" spans="1:16" s="4" customFormat="1" x14ac:dyDescent="0.25">
      <c r="A90" s="3">
        <v>260520000000000</v>
      </c>
      <c r="B90" s="4">
        <v>917</v>
      </c>
      <c r="C90" s="4">
        <v>4200</v>
      </c>
      <c r="D90" s="4" t="s">
        <v>16</v>
      </c>
      <c r="E90" s="4" t="s">
        <v>194</v>
      </c>
      <c r="F90" s="4">
        <v>115.2</v>
      </c>
      <c r="G90" s="4">
        <v>1</v>
      </c>
      <c r="H90" s="4" t="s">
        <v>195</v>
      </c>
      <c r="I90" s="4">
        <v>116.3</v>
      </c>
      <c r="J90" s="4">
        <v>1</v>
      </c>
      <c r="K90" s="4">
        <v>0.10204081600000001</v>
      </c>
      <c r="N90" s="4">
        <v>116.3</v>
      </c>
      <c r="O90" s="4" t="b">
        <v>1</v>
      </c>
      <c r="P90" s="4" t="s">
        <v>19</v>
      </c>
    </row>
    <row r="91" spans="1:16" s="4" customFormat="1" x14ac:dyDescent="0.25">
      <c r="A91" s="3">
        <v>260519000000000</v>
      </c>
      <c r="B91" s="4">
        <v>917</v>
      </c>
      <c r="C91" s="4">
        <v>4200</v>
      </c>
      <c r="D91" s="4" t="s">
        <v>16</v>
      </c>
      <c r="E91" s="4" t="s">
        <v>196</v>
      </c>
      <c r="F91" s="4">
        <v>116.2</v>
      </c>
      <c r="G91" s="4">
        <v>1</v>
      </c>
      <c r="H91" s="4" t="s">
        <v>197</v>
      </c>
      <c r="I91" s="4">
        <v>115.7</v>
      </c>
      <c r="J91" s="4">
        <v>2</v>
      </c>
      <c r="K91" s="4">
        <v>0.10204081600000001</v>
      </c>
      <c r="N91" s="4">
        <v>231.4</v>
      </c>
      <c r="O91" s="4" t="b">
        <v>1</v>
      </c>
      <c r="P91" s="4" t="s">
        <v>19</v>
      </c>
    </row>
    <row r="92" spans="1:16" s="4" customFormat="1" x14ac:dyDescent="0.25">
      <c r="A92" s="3">
        <v>260518000000000</v>
      </c>
      <c r="B92" s="4">
        <v>917</v>
      </c>
      <c r="C92" s="4">
        <v>4200</v>
      </c>
      <c r="D92" s="4" t="s">
        <v>16</v>
      </c>
      <c r="E92" s="4" t="s">
        <v>198</v>
      </c>
      <c r="F92" s="4">
        <v>115.4</v>
      </c>
      <c r="G92" s="4">
        <v>1</v>
      </c>
      <c r="H92" s="4" t="s">
        <v>199</v>
      </c>
      <c r="I92" s="4">
        <v>115.3</v>
      </c>
      <c r="J92" s="4">
        <v>2</v>
      </c>
      <c r="K92" s="4">
        <v>0.10204081600000001</v>
      </c>
      <c r="N92" s="4">
        <v>230.6</v>
      </c>
      <c r="O92" s="4" t="b">
        <v>1</v>
      </c>
      <c r="P92" s="4" t="s">
        <v>19</v>
      </c>
    </row>
    <row r="93" spans="1:16" s="4" customFormat="1" x14ac:dyDescent="0.25">
      <c r="A93" s="3">
        <v>260517000000000</v>
      </c>
      <c r="B93" s="4">
        <v>917</v>
      </c>
      <c r="C93" s="4">
        <v>4200</v>
      </c>
      <c r="D93" s="4" t="s">
        <v>16</v>
      </c>
      <c r="E93" s="4" t="s">
        <v>200</v>
      </c>
      <c r="F93" s="4">
        <v>114.3</v>
      </c>
      <c r="G93" s="4">
        <v>1</v>
      </c>
      <c r="H93" s="4" t="s">
        <v>201</v>
      </c>
      <c r="I93" s="4">
        <v>114.4</v>
      </c>
      <c r="J93" s="4">
        <v>2</v>
      </c>
      <c r="K93" s="4">
        <v>0.10204081600000001</v>
      </c>
      <c r="N93" s="4">
        <v>228.8</v>
      </c>
      <c r="O93" s="4" t="b">
        <v>1</v>
      </c>
      <c r="P93" s="4" t="s">
        <v>19</v>
      </c>
    </row>
    <row r="94" spans="1:16" s="4" customFormat="1" x14ac:dyDescent="0.25">
      <c r="A94" s="3">
        <v>260514000000000</v>
      </c>
      <c r="B94" s="4">
        <v>917</v>
      </c>
      <c r="C94" s="4">
        <v>4200</v>
      </c>
      <c r="D94" s="4" t="s">
        <v>16</v>
      </c>
      <c r="E94" s="4" t="s">
        <v>202</v>
      </c>
      <c r="F94" s="4">
        <v>115.8</v>
      </c>
      <c r="G94" s="4">
        <v>1</v>
      </c>
      <c r="H94" s="4" t="s">
        <v>203</v>
      </c>
      <c r="I94" s="4">
        <v>115.5</v>
      </c>
      <c r="J94" s="4">
        <v>2</v>
      </c>
      <c r="K94" s="4">
        <v>0.10204081600000001</v>
      </c>
      <c r="N94" s="4">
        <v>231</v>
      </c>
      <c r="O94" s="4" t="b">
        <v>1</v>
      </c>
      <c r="P94" s="4" t="s">
        <v>19</v>
      </c>
    </row>
    <row r="95" spans="1:16" s="4" customFormat="1" x14ac:dyDescent="0.25">
      <c r="A95" s="3">
        <v>260513000000000</v>
      </c>
      <c r="B95" s="4">
        <v>917</v>
      </c>
      <c r="C95" s="4">
        <v>4200</v>
      </c>
      <c r="D95" s="4" t="s">
        <v>16</v>
      </c>
      <c r="E95" s="4" t="s">
        <v>204</v>
      </c>
      <c r="F95" s="4">
        <v>114.1</v>
      </c>
      <c r="G95" s="4">
        <v>1</v>
      </c>
      <c r="H95" s="4" t="s">
        <v>205</v>
      </c>
      <c r="I95" s="4">
        <v>113.9</v>
      </c>
      <c r="J95" s="4">
        <v>2</v>
      </c>
      <c r="K95" s="4">
        <v>0.10204081600000001</v>
      </c>
      <c r="N95" s="4">
        <v>227.8</v>
      </c>
      <c r="O95" s="4" t="b">
        <v>1</v>
      </c>
      <c r="P95" s="4" t="s">
        <v>19</v>
      </c>
    </row>
    <row r="96" spans="1:16" s="4" customFormat="1" x14ac:dyDescent="0.25">
      <c r="A96" s="3">
        <v>260512000000000</v>
      </c>
      <c r="B96" s="4">
        <v>917</v>
      </c>
      <c r="C96" s="4">
        <v>4200</v>
      </c>
      <c r="D96" s="4" t="s">
        <v>16</v>
      </c>
      <c r="E96" s="4" t="s">
        <v>206</v>
      </c>
      <c r="F96" s="4">
        <v>116.3</v>
      </c>
      <c r="G96" s="4">
        <v>1</v>
      </c>
      <c r="H96" s="4" t="s">
        <v>207</v>
      </c>
      <c r="I96" s="4">
        <v>115.7</v>
      </c>
      <c r="J96" s="4">
        <v>3</v>
      </c>
      <c r="K96" s="4">
        <v>0.10204081600000001</v>
      </c>
      <c r="N96" s="4">
        <v>347.1</v>
      </c>
      <c r="O96" s="4" t="b">
        <v>1</v>
      </c>
      <c r="P96" s="4" t="s">
        <v>19</v>
      </c>
    </row>
    <row r="97" spans="1:16" s="4" customFormat="1" x14ac:dyDescent="0.25">
      <c r="A97" s="3">
        <v>260511000000000</v>
      </c>
      <c r="B97" s="4">
        <v>917</v>
      </c>
      <c r="C97" s="4">
        <v>4200</v>
      </c>
      <c r="D97" s="4" t="s">
        <v>16</v>
      </c>
      <c r="E97" s="4" t="s">
        <v>208</v>
      </c>
      <c r="F97" s="4">
        <v>117.2</v>
      </c>
      <c r="G97" s="4">
        <v>1</v>
      </c>
      <c r="H97" s="4" t="s">
        <v>209</v>
      </c>
      <c r="I97" s="4">
        <v>117.2</v>
      </c>
      <c r="J97" s="4">
        <v>3</v>
      </c>
      <c r="K97" s="4">
        <v>0.10204081600000001</v>
      </c>
      <c r="N97" s="4">
        <v>351.6</v>
      </c>
      <c r="O97" s="4" t="b">
        <v>1</v>
      </c>
      <c r="P97" s="4" t="s">
        <v>19</v>
      </c>
    </row>
    <row r="98" spans="1:16" s="2" customFormat="1" x14ac:dyDescent="0.25">
      <c r="A98" s="1">
        <v>260521000000000</v>
      </c>
      <c r="B98" s="2">
        <v>904</v>
      </c>
      <c r="C98" s="2">
        <v>8240</v>
      </c>
      <c r="D98" s="2" t="s">
        <v>16</v>
      </c>
      <c r="E98" s="2" t="s">
        <v>210</v>
      </c>
      <c r="F98" s="2">
        <v>18.170000000000002</v>
      </c>
      <c r="G98" s="2">
        <v>1</v>
      </c>
      <c r="H98" s="2" t="s">
        <v>211</v>
      </c>
      <c r="J98" s="2">
        <v>7</v>
      </c>
      <c r="K98" s="2">
        <v>5.5882353000000003E-2</v>
      </c>
      <c r="N98" s="2">
        <v>0</v>
      </c>
      <c r="O98" s="2" t="b">
        <v>0</v>
      </c>
      <c r="P98" s="2" t="s">
        <v>19</v>
      </c>
    </row>
    <row r="99" spans="1:16" s="2" customFormat="1" x14ac:dyDescent="0.25">
      <c r="A99" s="1">
        <v>260520000000000</v>
      </c>
      <c r="B99" s="2">
        <v>904</v>
      </c>
      <c r="C99" s="2">
        <v>8240</v>
      </c>
      <c r="D99" s="2" t="s">
        <v>16</v>
      </c>
      <c r="E99" s="2" t="s">
        <v>212</v>
      </c>
      <c r="F99" s="2">
        <v>18.420000000000002</v>
      </c>
      <c r="G99" s="2">
        <v>1</v>
      </c>
      <c r="H99" s="2" t="s">
        <v>213</v>
      </c>
      <c r="I99" s="2">
        <v>18.28</v>
      </c>
      <c r="J99" s="2">
        <v>8</v>
      </c>
      <c r="K99" s="2">
        <v>5.5882353000000003E-2</v>
      </c>
      <c r="N99" s="2">
        <v>146.24</v>
      </c>
      <c r="O99" s="2" t="b">
        <v>1</v>
      </c>
      <c r="P99" s="2" t="s">
        <v>19</v>
      </c>
    </row>
    <row r="100" spans="1:16" s="2" customFormat="1" x14ac:dyDescent="0.25">
      <c r="A100" s="1">
        <v>260519000000000</v>
      </c>
      <c r="B100" s="2">
        <v>904</v>
      </c>
      <c r="C100" s="2">
        <v>8240</v>
      </c>
      <c r="D100" s="2" t="s">
        <v>16</v>
      </c>
      <c r="E100" s="2" t="s">
        <v>214</v>
      </c>
      <c r="F100" s="2">
        <v>18.34</v>
      </c>
      <c r="G100" s="2">
        <v>1</v>
      </c>
      <c r="H100" s="2" t="s">
        <v>215</v>
      </c>
      <c r="I100" s="2">
        <v>18.350000000000001</v>
      </c>
      <c r="J100" s="2">
        <v>8</v>
      </c>
      <c r="K100" s="2">
        <v>5.5882353000000003E-2</v>
      </c>
      <c r="N100" s="2">
        <v>146.80000000000001</v>
      </c>
      <c r="O100" s="2" t="b">
        <v>1</v>
      </c>
      <c r="P100" s="2" t="s">
        <v>19</v>
      </c>
    </row>
    <row r="101" spans="1:16" s="2" customFormat="1" x14ac:dyDescent="0.25">
      <c r="A101" s="1">
        <v>260518000000000</v>
      </c>
      <c r="B101" s="2">
        <v>904</v>
      </c>
      <c r="C101" s="2">
        <v>8240</v>
      </c>
      <c r="D101" s="2" t="s">
        <v>16</v>
      </c>
      <c r="E101" s="2" t="s">
        <v>216</v>
      </c>
      <c r="F101" s="2">
        <v>18.29</v>
      </c>
      <c r="G101" s="2">
        <v>1</v>
      </c>
      <c r="H101" s="2" t="s">
        <v>217</v>
      </c>
      <c r="I101" s="2">
        <v>18.27</v>
      </c>
      <c r="J101" s="2">
        <v>9</v>
      </c>
      <c r="K101" s="2">
        <v>5.5882353000000003E-2</v>
      </c>
      <c r="N101" s="2">
        <v>164.43</v>
      </c>
      <c r="O101" s="2" t="b">
        <v>1</v>
      </c>
      <c r="P101" s="2" t="s">
        <v>19</v>
      </c>
    </row>
    <row r="102" spans="1:16" s="2" customFormat="1" x14ac:dyDescent="0.25">
      <c r="A102" s="1">
        <v>260517000000000</v>
      </c>
      <c r="B102" s="2">
        <v>904</v>
      </c>
      <c r="C102" s="2">
        <v>8240</v>
      </c>
      <c r="D102" s="2" t="s">
        <v>16</v>
      </c>
      <c r="E102" s="2" t="s">
        <v>218</v>
      </c>
      <c r="F102" s="2">
        <v>18.55</v>
      </c>
      <c r="G102" s="2">
        <v>1</v>
      </c>
      <c r="H102" s="2" t="s">
        <v>219</v>
      </c>
      <c r="I102" s="2">
        <v>18.57</v>
      </c>
      <c r="J102" s="2">
        <v>9</v>
      </c>
      <c r="K102" s="2">
        <v>5.5882353000000003E-2</v>
      </c>
      <c r="N102" s="2">
        <v>167.13</v>
      </c>
      <c r="O102" s="2" t="b">
        <v>1</v>
      </c>
      <c r="P102" s="2" t="s">
        <v>19</v>
      </c>
    </row>
    <row r="103" spans="1:16" s="2" customFormat="1" x14ac:dyDescent="0.25">
      <c r="A103" s="1">
        <v>260514000000000</v>
      </c>
      <c r="B103" s="2">
        <v>904</v>
      </c>
      <c r="C103" s="2">
        <v>8240</v>
      </c>
      <c r="D103" s="2" t="s">
        <v>16</v>
      </c>
      <c r="E103" s="2" t="s">
        <v>220</v>
      </c>
      <c r="F103" s="2">
        <v>18.600000000000001</v>
      </c>
      <c r="G103" s="2">
        <v>1</v>
      </c>
      <c r="H103" s="2" t="s">
        <v>221</v>
      </c>
      <c r="I103" s="2">
        <v>18.54</v>
      </c>
      <c r="J103" s="2">
        <v>10</v>
      </c>
      <c r="K103" s="2">
        <v>5.5882353000000003E-2</v>
      </c>
      <c r="N103" s="2">
        <v>185.4</v>
      </c>
      <c r="O103" s="2" t="b">
        <v>1</v>
      </c>
      <c r="P103" s="2" t="s">
        <v>19</v>
      </c>
    </row>
    <row r="104" spans="1:16" s="2" customFormat="1" x14ac:dyDescent="0.25">
      <c r="A104" s="1">
        <v>260513000000000</v>
      </c>
      <c r="B104" s="2">
        <v>904</v>
      </c>
      <c r="C104" s="2">
        <v>8240</v>
      </c>
      <c r="D104" s="2" t="s">
        <v>16</v>
      </c>
      <c r="E104" s="2" t="s">
        <v>222</v>
      </c>
      <c r="F104" s="2">
        <v>18.670000000000002</v>
      </c>
      <c r="G104" s="2">
        <v>1</v>
      </c>
      <c r="H104" s="2" t="s">
        <v>223</v>
      </c>
      <c r="I104" s="2">
        <v>18.670000000000002</v>
      </c>
      <c r="J104" s="2">
        <v>10</v>
      </c>
      <c r="K104" s="2">
        <v>5.5882353000000003E-2</v>
      </c>
      <c r="N104" s="2">
        <v>186.7</v>
      </c>
      <c r="O104" s="2" t="b">
        <v>1</v>
      </c>
      <c r="P104" s="2" t="s">
        <v>19</v>
      </c>
    </row>
    <row r="105" spans="1:16" s="2" customFormat="1" x14ac:dyDescent="0.25">
      <c r="A105" s="1">
        <v>260512000000000</v>
      </c>
      <c r="B105" s="2">
        <v>904</v>
      </c>
      <c r="C105" s="2">
        <v>8240</v>
      </c>
      <c r="D105" s="2" t="s">
        <v>16</v>
      </c>
      <c r="E105" s="2" t="s">
        <v>224</v>
      </c>
      <c r="G105" s="2">
        <v>1</v>
      </c>
      <c r="H105" s="2" t="s">
        <v>225</v>
      </c>
      <c r="I105" s="2">
        <v>18.149999999999999</v>
      </c>
      <c r="J105" s="2">
        <v>11</v>
      </c>
      <c r="K105" s="2">
        <v>5.5882353000000003E-2</v>
      </c>
      <c r="N105" s="2">
        <v>199.65</v>
      </c>
      <c r="O105" s="2" t="b">
        <v>1</v>
      </c>
      <c r="P105" s="2" t="s">
        <v>19</v>
      </c>
    </row>
    <row r="106" spans="1:16" s="2" customFormat="1" x14ac:dyDescent="0.25">
      <c r="A106" s="1">
        <v>260511000000000</v>
      </c>
      <c r="B106" s="2">
        <v>904</v>
      </c>
      <c r="C106" s="2">
        <v>8240</v>
      </c>
      <c r="D106" s="2" t="s">
        <v>16</v>
      </c>
      <c r="E106" s="2" t="s">
        <v>226</v>
      </c>
      <c r="F106" s="2">
        <v>18.57</v>
      </c>
      <c r="G106" s="2">
        <v>1</v>
      </c>
      <c r="H106" s="2" t="s">
        <v>227</v>
      </c>
      <c r="I106" s="2">
        <v>18.57</v>
      </c>
      <c r="J106" s="2">
        <v>12</v>
      </c>
      <c r="K106" s="2">
        <v>5.5882353000000003E-2</v>
      </c>
      <c r="N106" s="2">
        <v>222.84</v>
      </c>
      <c r="O106" s="2" t="b">
        <v>1</v>
      </c>
      <c r="P106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57FB-0CED-47F4-850A-E2D0A10D9227}">
  <dimension ref="A1:AE4"/>
  <sheetViews>
    <sheetView topLeftCell="I1" workbookViewId="0">
      <selection activeCell="I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1" width="11.42578125" style="5" bestFit="1" customWidth="1"/>
    <col min="22" max="22" width="12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260513000000000</v>
      </c>
      <c r="B2" s="7">
        <v>901</v>
      </c>
      <c r="C2" s="7">
        <v>2190</v>
      </c>
      <c r="D2" s="7" t="s">
        <v>16</v>
      </c>
      <c r="E2" s="7" t="s">
        <v>17</v>
      </c>
      <c r="F2" s="7">
        <v>33.880000000000003</v>
      </c>
      <c r="G2" s="7">
        <v>1</v>
      </c>
      <c r="H2" s="7" t="s">
        <v>18</v>
      </c>
      <c r="I2" s="7">
        <v>35.36</v>
      </c>
      <c r="J2" s="7">
        <v>15</v>
      </c>
      <c r="K2" s="7">
        <v>0.2</v>
      </c>
      <c r="N2" s="7">
        <v>530.4</v>
      </c>
      <c r="O2" s="7" t="b">
        <v>1</v>
      </c>
      <c r="P2" s="7" t="s">
        <v>19</v>
      </c>
      <c r="R2" s="7">
        <f>SUM(J2:J4)</f>
        <v>58</v>
      </c>
      <c r="T2" s="7">
        <f>SUM(N2:N4)</f>
        <v>1953.1399999999999</v>
      </c>
      <c r="V2" s="7">
        <f>T2/R2</f>
        <v>33.674827586206895</v>
      </c>
      <c r="W2" s="7">
        <v>34.01</v>
      </c>
      <c r="X2" s="7">
        <v>32.33</v>
      </c>
      <c r="Y2" s="7">
        <f>((W2-X2)/2)+X2</f>
        <v>33.17</v>
      </c>
      <c r="Z2" s="7">
        <f>W2-X2</f>
        <v>1.6799999999999997</v>
      </c>
      <c r="AA2" s="7">
        <f>Z2/4</f>
        <v>0.41999999999999993</v>
      </c>
      <c r="AB2" s="7">
        <f>X2+AA2</f>
        <v>32.75</v>
      </c>
      <c r="AC2" s="7">
        <f>X2+(AA2*2)</f>
        <v>33.17</v>
      </c>
      <c r="AD2" s="7">
        <f>Y2+AA2</f>
        <v>33.590000000000003</v>
      </c>
      <c r="AE2" s="7">
        <f>W2</f>
        <v>34.01</v>
      </c>
    </row>
    <row r="3" spans="1:31" s="7" customFormat="1" x14ac:dyDescent="0.25">
      <c r="A3" s="6">
        <v>260512000000000</v>
      </c>
      <c r="B3" s="7">
        <v>901</v>
      </c>
      <c r="C3" s="7">
        <v>2190</v>
      </c>
      <c r="D3" s="7" t="s">
        <v>16</v>
      </c>
      <c r="E3" s="7" t="s">
        <v>20</v>
      </c>
      <c r="F3" s="7">
        <v>33.04</v>
      </c>
      <c r="G3" s="7">
        <v>1</v>
      </c>
      <c r="H3" s="7" t="s">
        <v>21</v>
      </c>
      <c r="I3" s="7">
        <v>33.020000000000003</v>
      </c>
      <c r="J3" s="7">
        <v>19</v>
      </c>
      <c r="K3" s="7">
        <v>0.2</v>
      </c>
      <c r="N3" s="7">
        <v>627.38</v>
      </c>
      <c r="O3" s="7" t="b">
        <v>1</v>
      </c>
      <c r="P3" s="7" t="s">
        <v>19</v>
      </c>
    </row>
    <row r="4" spans="1:31" s="7" customFormat="1" x14ac:dyDescent="0.25">
      <c r="A4" s="6">
        <v>260511000000000</v>
      </c>
      <c r="B4" s="7">
        <v>901</v>
      </c>
      <c r="C4" s="7">
        <v>2190</v>
      </c>
      <c r="D4" s="7" t="s">
        <v>16</v>
      </c>
      <c r="E4" s="7" t="s">
        <v>22</v>
      </c>
      <c r="F4" s="7">
        <v>33.159999999999997</v>
      </c>
      <c r="G4" s="7">
        <v>1</v>
      </c>
      <c r="H4" s="7" t="s">
        <v>23</v>
      </c>
      <c r="I4" s="7">
        <v>33.14</v>
      </c>
      <c r="J4" s="7">
        <v>24</v>
      </c>
      <c r="K4" s="7">
        <v>0.2</v>
      </c>
      <c r="N4" s="7">
        <v>795.36</v>
      </c>
      <c r="O4" s="7" t="b">
        <v>1</v>
      </c>
      <c r="P4" s="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69A0-46F2-443D-8EF3-1B92DE0EE461}">
  <dimension ref="A1:AE10"/>
  <sheetViews>
    <sheetView topLeftCell="J1" workbookViewId="0">
      <selection activeCell="J1" sqref="A1:XFD1"/>
    </sheetView>
  </sheetViews>
  <sheetFormatPr defaultColWidth="9.28515625"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28515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260521000000000</v>
      </c>
      <c r="B2" s="9">
        <v>907</v>
      </c>
      <c r="C2" s="9">
        <v>4050</v>
      </c>
      <c r="D2" s="9" t="s">
        <v>16</v>
      </c>
      <c r="E2" s="9" t="s">
        <v>24</v>
      </c>
      <c r="F2" s="9">
        <v>45.6</v>
      </c>
      <c r="G2" s="9">
        <v>1</v>
      </c>
      <c r="H2" s="9" t="s">
        <v>25</v>
      </c>
      <c r="J2" s="9">
        <v>5</v>
      </c>
      <c r="K2" s="9">
        <v>0.14529914499999999</v>
      </c>
      <c r="N2" s="9">
        <v>0</v>
      </c>
      <c r="O2" s="9" t="b">
        <v>0</v>
      </c>
      <c r="P2" s="9" t="s">
        <v>19</v>
      </c>
      <c r="W2" s="9">
        <v>53.29</v>
      </c>
      <c r="X2" s="9">
        <v>41.76</v>
      </c>
      <c r="Y2" s="9">
        <f>((W2-X2)/2)+X2</f>
        <v>47.524999999999999</v>
      </c>
      <c r="Z2" s="9">
        <f>W2-X2</f>
        <v>11.530000000000001</v>
      </c>
      <c r="AA2" s="9">
        <f>Z2/4</f>
        <v>2.8825000000000003</v>
      </c>
      <c r="AB2" s="9">
        <f>X2+AA2</f>
        <v>44.642499999999998</v>
      </c>
      <c r="AC2" s="9">
        <f>X2+(AA2*2)</f>
        <v>47.524999999999999</v>
      </c>
      <c r="AD2" s="9">
        <f>Y2+AA2</f>
        <v>50.407499999999999</v>
      </c>
      <c r="AE2" s="9">
        <f>W2</f>
        <v>53.29</v>
      </c>
    </row>
    <row r="3" spans="1:31" s="9" customFormat="1" x14ac:dyDescent="0.25">
      <c r="A3" s="8">
        <v>260520000000000</v>
      </c>
      <c r="B3" s="9">
        <v>907</v>
      </c>
      <c r="C3" s="9">
        <v>4050</v>
      </c>
      <c r="D3" s="9" t="s">
        <v>16</v>
      </c>
      <c r="E3" s="9" t="s">
        <v>26</v>
      </c>
      <c r="F3" s="9">
        <v>45.94</v>
      </c>
      <c r="G3" s="9">
        <v>2</v>
      </c>
      <c r="H3" s="9" t="s">
        <v>27</v>
      </c>
      <c r="I3" s="9">
        <v>46.22</v>
      </c>
      <c r="J3" s="9">
        <v>1</v>
      </c>
      <c r="K3" s="9">
        <v>0.03</v>
      </c>
      <c r="L3" s="9">
        <v>1.25888</v>
      </c>
      <c r="M3" s="9">
        <v>2.8</v>
      </c>
      <c r="N3" s="9">
        <v>46.22</v>
      </c>
      <c r="O3" s="9" t="b">
        <v>1</v>
      </c>
      <c r="P3" s="9" t="s">
        <v>19</v>
      </c>
      <c r="Q3" s="9">
        <f>SUM(J3:J4)</f>
        <v>2</v>
      </c>
      <c r="S3" s="9">
        <f>SUM(N3:N4)</f>
        <v>92.64</v>
      </c>
      <c r="U3" s="9">
        <f>S3/Q3</f>
        <v>46.32</v>
      </c>
    </row>
    <row r="4" spans="1:31" s="9" customFormat="1" x14ac:dyDescent="0.25">
      <c r="A4" s="8">
        <v>260519000000000</v>
      </c>
      <c r="B4" s="9">
        <v>907</v>
      </c>
      <c r="C4" s="9">
        <v>4050</v>
      </c>
      <c r="D4" s="9" t="s">
        <v>16</v>
      </c>
      <c r="E4" s="9" t="s">
        <v>28</v>
      </c>
      <c r="F4" s="9">
        <v>46.42</v>
      </c>
      <c r="G4" s="9">
        <v>2</v>
      </c>
      <c r="H4" s="9" t="s">
        <v>29</v>
      </c>
      <c r="I4" s="9">
        <v>46.42</v>
      </c>
      <c r="J4" s="9">
        <v>1</v>
      </c>
      <c r="K4" s="9">
        <v>0.03</v>
      </c>
      <c r="L4" s="9">
        <v>1.4612000000000001</v>
      </c>
      <c r="M4" s="9">
        <v>3.25</v>
      </c>
      <c r="N4" s="9">
        <v>46.42</v>
      </c>
      <c r="O4" s="9" t="b">
        <v>1</v>
      </c>
      <c r="P4" s="9" t="s">
        <v>19</v>
      </c>
    </row>
    <row r="5" spans="1:31" s="9" customFormat="1" x14ac:dyDescent="0.25">
      <c r="A5" s="8">
        <v>260518000000000</v>
      </c>
      <c r="B5" s="9">
        <v>907</v>
      </c>
      <c r="C5" s="9">
        <v>4050</v>
      </c>
      <c r="D5" s="9" t="s">
        <v>16</v>
      </c>
      <c r="E5" s="9" t="s">
        <v>30</v>
      </c>
      <c r="F5" s="9">
        <v>41.96</v>
      </c>
      <c r="G5" s="9">
        <v>1</v>
      </c>
      <c r="H5" s="9" t="s">
        <v>31</v>
      </c>
      <c r="I5" s="9">
        <v>42.04</v>
      </c>
      <c r="J5" s="9">
        <v>6</v>
      </c>
      <c r="K5" s="9">
        <v>0.14529914499999999</v>
      </c>
      <c r="N5" s="9">
        <v>252.24</v>
      </c>
      <c r="O5" s="9" t="b">
        <v>1</v>
      </c>
      <c r="P5" s="9" t="s">
        <v>19</v>
      </c>
      <c r="R5" s="9">
        <f>SUM(J5:J10)</f>
        <v>52</v>
      </c>
      <c r="T5" s="9">
        <f>SUM(N5:N10)</f>
        <v>2333.7399999999998</v>
      </c>
      <c r="V5" s="9">
        <f>T5/R5</f>
        <v>44.879615384615377</v>
      </c>
    </row>
    <row r="6" spans="1:31" s="9" customFormat="1" x14ac:dyDescent="0.25">
      <c r="A6" s="8">
        <v>260517000000000</v>
      </c>
      <c r="B6" s="9">
        <v>907</v>
      </c>
      <c r="C6" s="9">
        <v>4050</v>
      </c>
      <c r="D6" s="9" t="s">
        <v>16</v>
      </c>
      <c r="E6" s="9" t="s">
        <v>32</v>
      </c>
      <c r="F6" s="9">
        <v>42</v>
      </c>
      <c r="G6" s="9">
        <v>1</v>
      </c>
      <c r="H6" s="9" t="s">
        <v>33</v>
      </c>
      <c r="I6" s="9">
        <v>42.1</v>
      </c>
      <c r="J6" s="9">
        <v>7</v>
      </c>
      <c r="K6" s="9">
        <v>0.14529914499999999</v>
      </c>
      <c r="N6" s="9">
        <v>294.7</v>
      </c>
      <c r="O6" s="9" t="b">
        <v>1</v>
      </c>
      <c r="P6" s="9" t="s">
        <v>19</v>
      </c>
    </row>
    <row r="7" spans="1:31" s="9" customFormat="1" x14ac:dyDescent="0.25">
      <c r="A7" s="8">
        <v>260514000000000</v>
      </c>
      <c r="B7" s="9">
        <v>907</v>
      </c>
      <c r="C7" s="9">
        <v>4050</v>
      </c>
      <c r="D7" s="9" t="s">
        <v>16</v>
      </c>
      <c r="E7" s="9" t="s">
        <v>34</v>
      </c>
      <c r="G7" s="9">
        <v>1</v>
      </c>
      <c r="H7" s="9" t="s">
        <v>35</v>
      </c>
      <c r="I7" s="9">
        <v>43.58</v>
      </c>
      <c r="J7" s="9">
        <v>8</v>
      </c>
      <c r="K7" s="9">
        <v>0.14529914499999999</v>
      </c>
      <c r="N7" s="9">
        <v>348.64</v>
      </c>
      <c r="O7" s="9" t="b">
        <v>1</v>
      </c>
      <c r="P7" s="9" t="s">
        <v>19</v>
      </c>
    </row>
    <row r="8" spans="1:31" s="9" customFormat="1" x14ac:dyDescent="0.25">
      <c r="A8" s="8">
        <v>260513000000000</v>
      </c>
      <c r="B8" s="9">
        <v>907</v>
      </c>
      <c r="C8" s="9">
        <v>4050</v>
      </c>
      <c r="D8" s="9" t="s">
        <v>16</v>
      </c>
      <c r="E8" s="9" t="s">
        <v>36</v>
      </c>
      <c r="F8" s="9">
        <v>44</v>
      </c>
      <c r="G8" s="9">
        <v>1</v>
      </c>
      <c r="H8" s="9" t="s">
        <v>37</v>
      </c>
      <c r="I8" s="9">
        <v>43.66</v>
      </c>
      <c r="J8" s="9">
        <v>9</v>
      </c>
      <c r="K8" s="9">
        <v>0.14529914499999999</v>
      </c>
      <c r="N8" s="9">
        <v>392.94</v>
      </c>
      <c r="O8" s="9" t="b">
        <v>1</v>
      </c>
      <c r="P8" s="9" t="s">
        <v>19</v>
      </c>
    </row>
    <row r="9" spans="1:31" s="9" customFormat="1" x14ac:dyDescent="0.25">
      <c r="A9" s="8">
        <v>260512000000000</v>
      </c>
      <c r="B9" s="9">
        <v>907</v>
      </c>
      <c r="C9" s="9">
        <v>4050</v>
      </c>
      <c r="D9" s="9" t="s">
        <v>16</v>
      </c>
      <c r="E9" s="9" t="s">
        <v>38</v>
      </c>
      <c r="F9" s="9">
        <v>45.06</v>
      </c>
      <c r="G9" s="9">
        <v>1</v>
      </c>
      <c r="H9" s="9" t="s">
        <v>39</v>
      </c>
      <c r="I9" s="9">
        <v>45.02</v>
      </c>
      <c r="J9" s="9">
        <v>11</v>
      </c>
      <c r="K9" s="9">
        <v>0.14529914499999999</v>
      </c>
      <c r="N9" s="9">
        <v>495.22</v>
      </c>
      <c r="O9" s="9" t="b">
        <v>1</v>
      </c>
      <c r="P9" s="9" t="s">
        <v>19</v>
      </c>
    </row>
    <row r="10" spans="1:31" s="9" customFormat="1" x14ac:dyDescent="0.25">
      <c r="A10" s="8">
        <v>260511000000000</v>
      </c>
      <c r="B10" s="9">
        <v>907</v>
      </c>
      <c r="C10" s="9">
        <v>4050</v>
      </c>
      <c r="D10" s="9" t="s">
        <v>16</v>
      </c>
      <c r="E10" s="9" t="s">
        <v>40</v>
      </c>
      <c r="F10" s="9">
        <v>50.35</v>
      </c>
      <c r="G10" s="9">
        <v>1</v>
      </c>
      <c r="H10" s="9" t="s">
        <v>41</v>
      </c>
      <c r="I10" s="9">
        <v>50</v>
      </c>
      <c r="J10" s="9">
        <v>11</v>
      </c>
      <c r="K10" s="9">
        <v>0.14529914499999999</v>
      </c>
      <c r="N10" s="9">
        <v>550</v>
      </c>
      <c r="O10" s="9" t="b">
        <v>1</v>
      </c>
      <c r="P10" s="9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5638-0B84-4FA4-8ABE-18554F47ECF6}">
  <dimension ref="A1:AE8"/>
  <sheetViews>
    <sheetView topLeftCell="I1" workbookViewId="0">
      <selection activeCell="I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1" width="11.42578125" style="5" bestFit="1" customWidth="1"/>
    <col min="22" max="22" width="12" style="5" bestFit="1" customWidth="1"/>
    <col min="23" max="23" width="7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260521000000000</v>
      </c>
      <c r="B2" s="7">
        <v>900</v>
      </c>
      <c r="C2" s="7">
        <v>8210</v>
      </c>
      <c r="D2" s="7" t="s">
        <v>16</v>
      </c>
      <c r="E2" s="7" t="s">
        <v>42</v>
      </c>
      <c r="F2" s="7">
        <v>171.7</v>
      </c>
      <c r="G2" s="7">
        <v>1</v>
      </c>
      <c r="H2" s="7" t="s">
        <v>43</v>
      </c>
      <c r="J2" s="7">
        <v>1</v>
      </c>
      <c r="K2" s="7">
        <v>0.19</v>
      </c>
      <c r="N2" s="7">
        <v>0</v>
      </c>
      <c r="O2" s="7" t="b">
        <v>0</v>
      </c>
      <c r="P2" s="7" t="s">
        <v>19</v>
      </c>
      <c r="W2" s="7">
        <v>182.86</v>
      </c>
      <c r="X2" s="7">
        <v>166</v>
      </c>
      <c r="Y2" s="7">
        <f>((W2-X2)/2)+X2</f>
        <v>174.43</v>
      </c>
      <c r="Z2" s="7">
        <f>W2-X2</f>
        <v>16.860000000000014</v>
      </c>
      <c r="AA2" s="7">
        <f>Z2/4</f>
        <v>4.2150000000000034</v>
      </c>
      <c r="AB2" s="7">
        <f>X2+AA2</f>
        <v>170.215</v>
      </c>
      <c r="AC2" s="7">
        <f>X2+(AA2*2)</f>
        <v>174.43</v>
      </c>
      <c r="AD2" s="7">
        <f>Y2+AA2</f>
        <v>178.64500000000001</v>
      </c>
      <c r="AE2" s="7">
        <f>W2</f>
        <v>182.86</v>
      </c>
    </row>
    <row r="3" spans="1:31" s="7" customFormat="1" x14ac:dyDescent="0.25">
      <c r="A3" s="6">
        <v>260520000000000</v>
      </c>
      <c r="B3" s="7">
        <v>900</v>
      </c>
      <c r="C3" s="7">
        <v>8210</v>
      </c>
      <c r="D3" s="7" t="s">
        <v>16</v>
      </c>
      <c r="E3" s="7" t="s">
        <v>44</v>
      </c>
      <c r="F3" s="7">
        <v>167.3</v>
      </c>
      <c r="G3" s="7">
        <v>1</v>
      </c>
      <c r="H3" s="7" t="s">
        <v>45</v>
      </c>
      <c r="I3" s="7">
        <v>167.5</v>
      </c>
      <c r="J3" s="7">
        <v>1</v>
      </c>
      <c r="K3" s="7">
        <v>0.19</v>
      </c>
      <c r="N3" s="7">
        <v>167.5</v>
      </c>
      <c r="O3" s="7" t="b">
        <v>1</v>
      </c>
      <c r="P3" s="7" t="s">
        <v>19</v>
      </c>
      <c r="R3" s="7">
        <f>SUM(J3:J8)</f>
        <v>15</v>
      </c>
      <c r="T3" s="7">
        <f>SUM(N3:N8)</f>
        <v>2622.7</v>
      </c>
      <c r="V3" s="7">
        <f>T3/R3</f>
        <v>174.84666666666666</v>
      </c>
    </row>
    <row r="4" spans="1:31" s="7" customFormat="1" x14ac:dyDescent="0.25">
      <c r="A4" s="6">
        <v>260519000000000</v>
      </c>
      <c r="B4" s="7">
        <v>900</v>
      </c>
      <c r="C4" s="7">
        <v>8210</v>
      </c>
      <c r="D4" s="7" t="s">
        <v>16</v>
      </c>
      <c r="E4" s="7" t="s">
        <v>46</v>
      </c>
      <c r="F4" s="7">
        <v>170.7</v>
      </c>
      <c r="G4" s="7">
        <v>1</v>
      </c>
      <c r="H4" s="7" t="s">
        <v>47</v>
      </c>
      <c r="I4" s="7">
        <v>170.7</v>
      </c>
      <c r="J4" s="7">
        <v>2</v>
      </c>
      <c r="K4" s="7">
        <v>0.19</v>
      </c>
      <c r="N4" s="7">
        <v>341.4</v>
      </c>
      <c r="O4" s="7" t="b">
        <v>1</v>
      </c>
      <c r="P4" s="7" t="s">
        <v>19</v>
      </c>
    </row>
    <row r="5" spans="1:31" s="7" customFormat="1" x14ac:dyDescent="0.25">
      <c r="A5" s="6">
        <v>260514000000000</v>
      </c>
      <c r="B5" s="7">
        <v>900</v>
      </c>
      <c r="C5" s="7">
        <v>8210</v>
      </c>
      <c r="D5" s="7" t="s">
        <v>16</v>
      </c>
      <c r="E5" s="7" t="s">
        <v>48</v>
      </c>
      <c r="F5" s="7">
        <v>174.7</v>
      </c>
      <c r="G5" s="7">
        <v>1</v>
      </c>
      <c r="H5" s="7" t="s">
        <v>49</v>
      </c>
      <c r="I5" s="7">
        <v>174.5</v>
      </c>
      <c r="J5" s="7">
        <v>2</v>
      </c>
      <c r="K5" s="7">
        <v>0.19</v>
      </c>
      <c r="N5" s="7">
        <v>349</v>
      </c>
      <c r="O5" s="7" t="b">
        <v>1</v>
      </c>
      <c r="P5" s="7" t="s">
        <v>19</v>
      </c>
    </row>
    <row r="6" spans="1:31" s="7" customFormat="1" x14ac:dyDescent="0.25">
      <c r="A6" s="6">
        <v>260513000000000</v>
      </c>
      <c r="B6" s="7">
        <v>900</v>
      </c>
      <c r="C6" s="7">
        <v>8210</v>
      </c>
      <c r="D6" s="7" t="s">
        <v>16</v>
      </c>
      <c r="E6" s="7" t="s">
        <v>50</v>
      </c>
      <c r="F6" s="7">
        <v>174.1</v>
      </c>
      <c r="G6" s="7">
        <v>1</v>
      </c>
      <c r="H6" s="7" t="s">
        <v>51</v>
      </c>
      <c r="I6" s="7">
        <v>174.2</v>
      </c>
      <c r="J6" s="7">
        <v>3</v>
      </c>
      <c r="K6" s="7">
        <v>0.19</v>
      </c>
      <c r="N6" s="7">
        <v>522.6</v>
      </c>
      <c r="O6" s="7" t="b">
        <v>1</v>
      </c>
      <c r="P6" s="7" t="s">
        <v>19</v>
      </c>
    </row>
    <row r="7" spans="1:31" s="7" customFormat="1" x14ac:dyDescent="0.25">
      <c r="A7" s="6">
        <v>260512000000000</v>
      </c>
      <c r="B7" s="7">
        <v>900</v>
      </c>
      <c r="C7" s="7">
        <v>8210</v>
      </c>
      <c r="D7" s="7" t="s">
        <v>16</v>
      </c>
      <c r="E7" s="7" t="s">
        <v>52</v>
      </c>
      <c r="F7" s="7">
        <v>174.6</v>
      </c>
      <c r="G7" s="7">
        <v>1</v>
      </c>
      <c r="H7" s="7" t="s">
        <v>53</v>
      </c>
      <c r="I7" s="7">
        <v>174.6</v>
      </c>
      <c r="J7" s="7">
        <v>3</v>
      </c>
      <c r="K7" s="7">
        <v>0.19</v>
      </c>
      <c r="N7" s="7">
        <v>523.79999999999995</v>
      </c>
      <c r="O7" s="7" t="b">
        <v>1</v>
      </c>
      <c r="P7" s="7" t="s">
        <v>19</v>
      </c>
    </row>
    <row r="8" spans="1:31" s="7" customFormat="1" x14ac:dyDescent="0.25">
      <c r="A8" s="6">
        <v>260511000000000</v>
      </c>
      <c r="B8" s="7">
        <v>900</v>
      </c>
      <c r="C8" s="7">
        <v>8210</v>
      </c>
      <c r="D8" s="7" t="s">
        <v>16</v>
      </c>
      <c r="E8" s="7" t="s">
        <v>54</v>
      </c>
      <c r="F8" s="7">
        <v>179.3</v>
      </c>
      <c r="G8" s="7">
        <v>1</v>
      </c>
      <c r="H8" s="7" t="s">
        <v>55</v>
      </c>
      <c r="I8" s="7">
        <v>179.6</v>
      </c>
      <c r="J8" s="7">
        <v>4</v>
      </c>
      <c r="K8" s="7">
        <v>0.19</v>
      </c>
      <c r="N8" s="7">
        <v>718.4</v>
      </c>
      <c r="O8" s="7" t="b">
        <v>1</v>
      </c>
      <c r="P8" s="7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82E5-3FB1-4166-ADA1-A0A60F5F573F}">
  <dimension ref="A1:AE10"/>
  <sheetViews>
    <sheetView workbookViewId="0">
      <selection activeCell="E23" sqref="E23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1" width="11.42578125" style="5" bestFit="1" customWidth="1"/>
    <col min="22" max="22" width="12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260521000000000</v>
      </c>
      <c r="B2" s="9">
        <v>897</v>
      </c>
      <c r="C2" s="9">
        <v>6013</v>
      </c>
      <c r="D2" s="9" t="s">
        <v>16</v>
      </c>
      <c r="E2" s="9" t="s">
        <v>56</v>
      </c>
      <c r="F2" s="9">
        <v>85.5</v>
      </c>
      <c r="G2" s="9">
        <v>1</v>
      </c>
      <c r="H2" s="9" t="s">
        <v>57</v>
      </c>
      <c r="J2" s="9">
        <v>2</v>
      </c>
      <c r="K2" s="9">
        <v>7.5187970000000007E-2</v>
      </c>
      <c r="N2" s="9">
        <v>0</v>
      </c>
      <c r="O2" s="9" t="b">
        <v>0</v>
      </c>
      <c r="P2" s="9" t="s">
        <v>19</v>
      </c>
      <c r="W2" s="9">
        <v>96.55</v>
      </c>
      <c r="X2" s="9">
        <v>84.22</v>
      </c>
      <c r="Y2" s="9">
        <f>((W2-X2)/2)+X2</f>
        <v>90.384999999999991</v>
      </c>
      <c r="Z2" s="9">
        <f>W2-X2</f>
        <v>12.329999999999998</v>
      </c>
      <c r="AA2" s="9">
        <f>Z2/4</f>
        <v>3.0824999999999996</v>
      </c>
      <c r="AB2" s="9">
        <f>X2+AA2</f>
        <v>87.302499999999995</v>
      </c>
      <c r="AC2" s="9">
        <f>X2+(AA2*2)</f>
        <v>90.384999999999991</v>
      </c>
      <c r="AD2" s="9">
        <f>Y2+AA2</f>
        <v>93.467499999999987</v>
      </c>
      <c r="AE2" s="9">
        <f>W2</f>
        <v>96.55</v>
      </c>
    </row>
    <row r="3" spans="1:31" s="9" customFormat="1" x14ac:dyDescent="0.25">
      <c r="A3" s="8">
        <v>260520000000000</v>
      </c>
      <c r="B3" s="9">
        <v>897</v>
      </c>
      <c r="C3" s="9">
        <v>6013</v>
      </c>
      <c r="D3" s="9" t="s">
        <v>16</v>
      </c>
      <c r="E3" s="9" t="s">
        <v>58</v>
      </c>
      <c r="F3" s="9">
        <v>85.8</v>
      </c>
      <c r="G3" s="9">
        <v>1</v>
      </c>
      <c r="H3" s="9" t="s">
        <v>59</v>
      </c>
      <c r="I3" s="9">
        <v>86</v>
      </c>
      <c r="J3" s="9">
        <v>2</v>
      </c>
      <c r="K3" s="9">
        <v>7.5187970000000007E-2</v>
      </c>
      <c r="N3" s="9">
        <v>172</v>
      </c>
      <c r="O3" s="9" t="b">
        <v>1</v>
      </c>
      <c r="P3" s="9" t="s">
        <v>19</v>
      </c>
      <c r="R3" s="9">
        <f>SUM(J3:J10)</f>
        <v>18</v>
      </c>
      <c r="T3" s="9">
        <f>SUM(N3:N10)</f>
        <v>1599.1</v>
      </c>
      <c r="V3" s="9">
        <f>T3/R3</f>
        <v>88.838888888888889</v>
      </c>
    </row>
    <row r="4" spans="1:31" s="9" customFormat="1" x14ac:dyDescent="0.25">
      <c r="A4" s="8">
        <v>260519000000000</v>
      </c>
      <c r="B4" s="9">
        <v>897</v>
      </c>
      <c r="C4" s="9">
        <v>6013</v>
      </c>
      <c r="D4" s="9" t="s">
        <v>16</v>
      </c>
      <c r="E4" s="9" t="s">
        <v>60</v>
      </c>
      <c r="F4" s="9">
        <v>86.75</v>
      </c>
      <c r="G4" s="9">
        <v>1</v>
      </c>
      <c r="H4" s="9" t="s">
        <v>61</v>
      </c>
      <c r="I4" s="9">
        <v>86.5</v>
      </c>
      <c r="J4" s="9">
        <v>2</v>
      </c>
      <c r="K4" s="9">
        <v>7.5187970000000007E-2</v>
      </c>
      <c r="N4" s="9">
        <v>173</v>
      </c>
      <c r="O4" s="9" t="b">
        <v>1</v>
      </c>
      <c r="P4" s="9" t="s">
        <v>19</v>
      </c>
    </row>
    <row r="5" spans="1:31" s="9" customFormat="1" x14ac:dyDescent="0.25">
      <c r="A5" s="8">
        <v>260518000000000</v>
      </c>
      <c r="B5" s="9">
        <v>897</v>
      </c>
      <c r="C5" s="9">
        <v>6013</v>
      </c>
      <c r="D5" s="9" t="s">
        <v>16</v>
      </c>
      <c r="E5" s="9" t="s">
        <v>62</v>
      </c>
      <c r="F5" s="9">
        <v>86.55</v>
      </c>
      <c r="G5" s="9">
        <v>1</v>
      </c>
      <c r="H5" s="9" t="s">
        <v>63</v>
      </c>
      <c r="I5" s="9">
        <v>86.55</v>
      </c>
      <c r="J5" s="9">
        <v>2</v>
      </c>
      <c r="K5" s="9">
        <v>7.5187970000000007E-2</v>
      </c>
      <c r="N5" s="9">
        <v>173.1</v>
      </c>
      <c r="O5" s="9" t="b">
        <v>1</v>
      </c>
      <c r="P5" s="9" t="s">
        <v>19</v>
      </c>
    </row>
    <row r="6" spans="1:31" s="9" customFormat="1" x14ac:dyDescent="0.25">
      <c r="A6" s="8">
        <v>260517000000000</v>
      </c>
      <c r="B6" s="9">
        <v>897</v>
      </c>
      <c r="C6" s="9">
        <v>6013</v>
      </c>
      <c r="D6" s="9" t="s">
        <v>16</v>
      </c>
      <c r="E6" s="9" t="s">
        <v>64</v>
      </c>
      <c r="F6" s="9">
        <v>88.05</v>
      </c>
      <c r="G6" s="9">
        <v>1</v>
      </c>
      <c r="H6" s="9" t="s">
        <v>65</v>
      </c>
      <c r="I6" s="9">
        <v>88.1</v>
      </c>
      <c r="J6" s="9">
        <v>2</v>
      </c>
      <c r="K6" s="9">
        <v>7.5187970000000007E-2</v>
      </c>
      <c r="N6" s="9">
        <v>176.2</v>
      </c>
      <c r="O6" s="9" t="b">
        <v>1</v>
      </c>
      <c r="P6" s="9" t="s">
        <v>19</v>
      </c>
    </row>
    <row r="7" spans="1:31" s="9" customFormat="1" x14ac:dyDescent="0.25">
      <c r="A7" s="8">
        <v>260514000000000</v>
      </c>
      <c r="B7" s="9">
        <v>897</v>
      </c>
      <c r="C7" s="9">
        <v>6013</v>
      </c>
      <c r="D7" s="9" t="s">
        <v>16</v>
      </c>
      <c r="E7" s="9" t="s">
        <v>66</v>
      </c>
      <c r="F7" s="9">
        <v>89.8</v>
      </c>
      <c r="G7" s="9">
        <v>1</v>
      </c>
      <c r="H7" s="9" t="s">
        <v>67</v>
      </c>
      <c r="I7" s="9">
        <v>89.8</v>
      </c>
      <c r="J7" s="9">
        <v>2</v>
      </c>
      <c r="K7" s="9">
        <v>7.5187970000000007E-2</v>
      </c>
      <c r="N7" s="9">
        <v>179.6</v>
      </c>
      <c r="O7" s="9" t="b">
        <v>1</v>
      </c>
      <c r="P7" s="9" t="s">
        <v>19</v>
      </c>
    </row>
    <row r="8" spans="1:31" s="9" customFormat="1" x14ac:dyDescent="0.25">
      <c r="A8" s="8">
        <v>260513000000000</v>
      </c>
      <c r="B8" s="9">
        <v>897</v>
      </c>
      <c r="C8" s="9">
        <v>6013</v>
      </c>
      <c r="D8" s="9" t="s">
        <v>16</v>
      </c>
      <c r="E8" s="9" t="s">
        <v>68</v>
      </c>
      <c r="F8" s="9">
        <v>89.35</v>
      </c>
      <c r="G8" s="9">
        <v>1</v>
      </c>
      <c r="H8" s="9" t="s">
        <v>69</v>
      </c>
      <c r="I8" s="9">
        <v>89</v>
      </c>
      <c r="J8" s="9">
        <v>2</v>
      </c>
      <c r="K8" s="9">
        <v>7.5187970000000007E-2</v>
      </c>
      <c r="N8" s="9">
        <v>178</v>
      </c>
      <c r="O8" s="9" t="b">
        <v>1</v>
      </c>
      <c r="P8" s="9" t="s">
        <v>19</v>
      </c>
    </row>
    <row r="9" spans="1:31" s="9" customFormat="1" x14ac:dyDescent="0.25">
      <c r="A9" s="8">
        <v>260512000000000</v>
      </c>
      <c r="B9" s="9">
        <v>897</v>
      </c>
      <c r="C9" s="9">
        <v>6013</v>
      </c>
      <c r="D9" s="9" t="s">
        <v>16</v>
      </c>
      <c r="E9" s="9" t="s">
        <v>70</v>
      </c>
      <c r="F9" s="9">
        <v>90</v>
      </c>
      <c r="G9" s="9">
        <v>1</v>
      </c>
      <c r="H9" s="9" t="s">
        <v>71</v>
      </c>
      <c r="I9" s="9">
        <v>90.1</v>
      </c>
      <c r="J9" s="9">
        <v>3</v>
      </c>
      <c r="K9" s="9">
        <v>7.5187970000000007E-2</v>
      </c>
      <c r="N9" s="9">
        <v>270.3</v>
      </c>
      <c r="O9" s="9" t="b">
        <v>1</v>
      </c>
      <c r="P9" s="9" t="s">
        <v>19</v>
      </c>
    </row>
    <row r="10" spans="1:31" s="9" customFormat="1" x14ac:dyDescent="0.25">
      <c r="A10" s="8">
        <v>260511000000000</v>
      </c>
      <c r="B10" s="9">
        <v>897</v>
      </c>
      <c r="C10" s="9">
        <v>6013</v>
      </c>
      <c r="D10" s="9" t="s">
        <v>16</v>
      </c>
      <c r="E10" s="9" t="s">
        <v>72</v>
      </c>
      <c r="F10" s="9">
        <v>91.85</v>
      </c>
      <c r="G10" s="9">
        <v>1</v>
      </c>
      <c r="H10" s="9" t="s">
        <v>73</v>
      </c>
      <c r="I10" s="9">
        <v>92.3</v>
      </c>
      <c r="J10" s="9">
        <v>3</v>
      </c>
      <c r="K10" s="9">
        <v>7.5187970000000007E-2</v>
      </c>
      <c r="N10" s="9">
        <v>276.89999999999998</v>
      </c>
      <c r="O10" s="9" t="b">
        <v>1</v>
      </c>
      <c r="P10" s="9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B081-0EC3-4EA0-AEA0-4430145E4E7B}">
  <dimension ref="A1:AE4"/>
  <sheetViews>
    <sheetView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260514000000000</v>
      </c>
      <c r="B2" s="7">
        <v>920</v>
      </c>
      <c r="C2" s="7">
        <v>8300</v>
      </c>
      <c r="D2" s="7" t="s">
        <v>16</v>
      </c>
      <c r="E2" s="7" t="s">
        <v>98</v>
      </c>
      <c r="F2" s="7">
        <v>12.63</v>
      </c>
      <c r="G2" s="7">
        <v>1</v>
      </c>
      <c r="H2" s="7" t="s">
        <v>99</v>
      </c>
      <c r="I2" s="7">
        <v>12.68</v>
      </c>
      <c r="J2" s="7">
        <v>29</v>
      </c>
      <c r="K2" s="7">
        <v>0.12</v>
      </c>
      <c r="N2" s="7">
        <v>367.72</v>
      </c>
      <c r="O2" s="7" t="b">
        <v>1</v>
      </c>
      <c r="P2" s="7" t="s">
        <v>19</v>
      </c>
      <c r="R2" s="7">
        <f>SUM(J2:J4)</f>
        <v>99</v>
      </c>
      <c r="T2" s="7">
        <f>SUM(N2:N4)</f>
        <v>1264.7</v>
      </c>
      <c r="V2" s="7">
        <f>T2/R2</f>
        <v>12.774747474747475</v>
      </c>
      <c r="W2" s="7">
        <v>13.93</v>
      </c>
      <c r="X2" s="7">
        <v>12</v>
      </c>
      <c r="Y2" s="7">
        <f>((W2-X2)/2)+X2</f>
        <v>12.965</v>
      </c>
      <c r="Z2" s="7">
        <f>W2-X2</f>
        <v>1.9299999999999997</v>
      </c>
      <c r="AA2" s="7">
        <f>Z2/4</f>
        <v>0.48249999999999993</v>
      </c>
      <c r="AB2" s="7">
        <f>X2+AA2</f>
        <v>12.4825</v>
      </c>
      <c r="AC2" s="7">
        <f>X2+(AA2*2)</f>
        <v>12.965</v>
      </c>
      <c r="AD2" s="7">
        <f>Y2+AA2</f>
        <v>13.4475</v>
      </c>
      <c r="AE2" s="7">
        <f>W2</f>
        <v>13.93</v>
      </c>
    </row>
    <row r="3" spans="1:31" s="7" customFormat="1" x14ac:dyDescent="0.25">
      <c r="A3" s="6">
        <v>260513000000000</v>
      </c>
      <c r="B3" s="7">
        <v>920</v>
      </c>
      <c r="C3" s="7">
        <v>8300</v>
      </c>
      <c r="D3" s="7" t="s">
        <v>16</v>
      </c>
      <c r="E3" s="7" t="s">
        <v>100</v>
      </c>
      <c r="F3" s="7">
        <v>12.73</v>
      </c>
      <c r="G3" s="7">
        <v>1</v>
      </c>
      <c r="H3" s="7" t="s">
        <v>101</v>
      </c>
      <c r="I3" s="7">
        <v>12.74</v>
      </c>
      <c r="J3" s="7">
        <v>33</v>
      </c>
      <c r="K3" s="7">
        <v>0.12</v>
      </c>
      <c r="N3" s="7">
        <v>420.42</v>
      </c>
      <c r="O3" s="7" t="b">
        <v>1</v>
      </c>
      <c r="P3" s="7" t="s">
        <v>19</v>
      </c>
    </row>
    <row r="4" spans="1:31" s="7" customFormat="1" x14ac:dyDescent="0.25">
      <c r="A4" s="6">
        <v>260512000000000</v>
      </c>
      <c r="B4" s="7">
        <v>920</v>
      </c>
      <c r="C4" s="7">
        <v>8300</v>
      </c>
      <c r="D4" s="7" t="s">
        <v>16</v>
      </c>
      <c r="E4" s="7" t="s">
        <v>102</v>
      </c>
      <c r="F4" s="7">
        <v>12.9</v>
      </c>
      <c r="G4" s="7">
        <v>1</v>
      </c>
      <c r="H4" s="7" t="s">
        <v>103</v>
      </c>
      <c r="I4" s="7">
        <v>12.88</v>
      </c>
      <c r="J4" s="7">
        <v>37</v>
      </c>
      <c r="K4" s="7">
        <v>0.12</v>
      </c>
      <c r="N4" s="7">
        <v>476.56</v>
      </c>
      <c r="O4" s="7" t="b">
        <v>1</v>
      </c>
      <c r="P4" s="7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A62D-960A-4D7E-9686-2B37D7EE2641}">
  <dimension ref="A1:AE5"/>
  <sheetViews>
    <sheetView workbookViewId="0">
      <selection activeCell="I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1" width="11.42578125" style="5" bestFit="1" customWidth="1"/>
    <col min="22" max="22" width="12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260520000000000</v>
      </c>
      <c r="B2" s="7">
        <v>936</v>
      </c>
      <c r="C2" s="7">
        <v>1211</v>
      </c>
      <c r="D2" s="7" t="s">
        <v>16</v>
      </c>
      <c r="E2" s="7" t="s">
        <v>74</v>
      </c>
      <c r="F2" s="7">
        <v>61.05</v>
      </c>
      <c r="G2" s="7">
        <v>1</v>
      </c>
      <c r="H2" s="7" t="s">
        <v>75</v>
      </c>
      <c r="I2" s="7">
        <v>61.15</v>
      </c>
      <c r="J2" s="7">
        <v>7</v>
      </c>
      <c r="K2" s="7">
        <v>0.25894736800000001</v>
      </c>
      <c r="N2" s="7">
        <v>428.05</v>
      </c>
      <c r="O2" s="7" t="b">
        <v>1</v>
      </c>
      <c r="P2" s="7" t="s">
        <v>19</v>
      </c>
      <c r="R2" s="7">
        <f>SUM(J2:J5)</f>
        <v>41</v>
      </c>
      <c r="T2" s="7">
        <f>SUM(N2:N5)</f>
        <v>2543.75</v>
      </c>
      <c r="V2" s="7">
        <f>T2/R2</f>
        <v>62.042682926829265</v>
      </c>
      <c r="W2" s="7">
        <v>70.37</v>
      </c>
      <c r="X2" s="7">
        <v>60.27</v>
      </c>
      <c r="Y2" s="7">
        <f>((W2-X2)/2)+X2</f>
        <v>65.320000000000007</v>
      </c>
      <c r="Z2" s="7">
        <f>W2-X2</f>
        <v>10.100000000000001</v>
      </c>
      <c r="AA2" s="7">
        <f>Z2/4</f>
        <v>2.5250000000000004</v>
      </c>
      <c r="AB2" s="7">
        <f>X2+AA2</f>
        <v>62.795000000000002</v>
      </c>
      <c r="AC2" s="7">
        <f>X2+(AA2*2)</f>
        <v>65.320000000000007</v>
      </c>
      <c r="AD2" s="7">
        <f>Y2+AA2</f>
        <v>67.845000000000013</v>
      </c>
      <c r="AE2" s="7">
        <f>W2</f>
        <v>70.37</v>
      </c>
    </row>
    <row r="3" spans="1:31" s="7" customFormat="1" x14ac:dyDescent="0.25">
      <c r="A3" s="6">
        <v>260519000000000</v>
      </c>
      <c r="B3" s="7">
        <v>936</v>
      </c>
      <c r="C3" s="7">
        <v>1211</v>
      </c>
      <c r="D3" s="7" t="s">
        <v>16</v>
      </c>
      <c r="E3" s="7" t="s">
        <v>76</v>
      </c>
      <c r="F3" s="7">
        <v>61.5</v>
      </c>
      <c r="G3" s="7">
        <v>1</v>
      </c>
      <c r="H3" s="7" t="s">
        <v>77</v>
      </c>
      <c r="I3" s="7">
        <v>61.65</v>
      </c>
      <c r="J3" s="7">
        <v>10</v>
      </c>
      <c r="K3" s="7">
        <v>0.25894736800000001</v>
      </c>
      <c r="N3" s="7">
        <v>616.5</v>
      </c>
      <c r="O3" s="7" t="b">
        <v>1</v>
      </c>
      <c r="P3" s="7" t="s">
        <v>19</v>
      </c>
    </row>
    <row r="4" spans="1:31" s="7" customFormat="1" x14ac:dyDescent="0.25">
      <c r="A4" s="6">
        <v>260518000000000</v>
      </c>
      <c r="B4" s="7">
        <v>936</v>
      </c>
      <c r="C4" s="7">
        <v>1211</v>
      </c>
      <c r="D4" s="7" t="s">
        <v>16</v>
      </c>
      <c r="E4" s="7" t="s">
        <v>78</v>
      </c>
      <c r="F4" s="7">
        <v>62.1</v>
      </c>
      <c r="G4" s="7">
        <v>1</v>
      </c>
      <c r="H4" s="7" t="s">
        <v>79</v>
      </c>
      <c r="I4" s="7">
        <v>62.1</v>
      </c>
      <c r="J4" s="7">
        <v>13</v>
      </c>
      <c r="K4" s="7">
        <v>0.25894736800000001</v>
      </c>
      <c r="N4" s="7">
        <v>807.3</v>
      </c>
      <c r="O4" s="7" t="b">
        <v>1</v>
      </c>
      <c r="P4" s="7" t="s">
        <v>19</v>
      </c>
    </row>
    <row r="5" spans="1:31" s="7" customFormat="1" x14ac:dyDescent="0.25">
      <c r="A5" s="6">
        <v>260517000000000</v>
      </c>
      <c r="B5" s="7">
        <v>936</v>
      </c>
      <c r="C5" s="7">
        <v>1211</v>
      </c>
      <c r="D5" s="7" t="s">
        <v>16</v>
      </c>
      <c r="E5" s="7" t="s">
        <v>80</v>
      </c>
      <c r="F5" s="7">
        <v>63.2</v>
      </c>
      <c r="G5" s="7">
        <v>1</v>
      </c>
      <c r="H5" s="7" t="s">
        <v>81</v>
      </c>
      <c r="I5" s="7">
        <v>62.9</v>
      </c>
      <c r="J5" s="7">
        <v>11</v>
      </c>
      <c r="K5" s="7">
        <v>0.18</v>
      </c>
      <c r="N5" s="7">
        <v>691.9</v>
      </c>
      <c r="O5" s="7" t="b">
        <v>1</v>
      </c>
      <c r="P5" s="7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4690-548B-4812-BC54-173178140B61}">
  <dimension ref="A1:AE9"/>
  <sheetViews>
    <sheetView workbookViewId="0">
      <selection activeCell="K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260520000000000</v>
      </c>
      <c r="B2" s="9">
        <v>895</v>
      </c>
      <c r="C2" s="9">
        <v>4260</v>
      </c>
      <c r="D2" s="9" t="s">
        <v>16</v>
      </c>
      <c r="E2" s="9" t="s">
        <v>82</v>
      </c>
      <c r="F2" s="9">
        <v>32.9</v>
      </c>
      <c r="G2" s="9">
        <v>1</v>
      </c>
      <c r="H2" s="9" t="s">
        <v>83</v>
      </c>
      <c r="I2" s="9">
        <v>32.9</v>
      </c>
      <c r="J2" s="9">
        <v>5</v>
      </c>
      <c r="K2" s="9">
        <v>0.18612826599999999</v>
      </c>
      <c r="N2" s="9">
        <v>164.5</v>
      </c>
      <c r="O2" s="9" t="b">
        <v>1</v>
      </c>
      <c r="P2" s="9" t="s">
        <v>19</v>
      </c>
      <c r="R2" s="9">
        <f>SUM(J2:J9)</f>
        <v>92</v>
      </c>
      <c r="T2" s="9">
        <f>SUM(N2:N9)</f>
        <v>3154.0600000000004</v>
      </c>
      <c r="V2" s="9">
        <f>T2/R2</f>
        <v>34.283260869565218</v>
      </c>
      <c r="W2" s="9">
        <v>42.39</v>
      </c>
      <c r="X2" s="9">
        <v>32.57</v>
      </c>
      <c r="Y2" s="9">
        <f>((W2-X2)/2)+X2</f>
        <v>37.480000000000004</v>
      </c>
      <c r="Z2" s="9">
        <f>W2-X2</f>
        <v>9.82</v>
      </c>
      <c r="AA2" s="9">
        <f>Z2/4</f>
        <v>2.4550000000000001</v>
      </c>
      <c r="AB2" s="9">
        <f>X2+AA2</f>
        <v>35.024999999999999</v>
      </c>
      <c r="AC2" s="9">
        <f>X2+(AA2*2)</f>
        <v>37.480000000000004</v>
      </c>
      <c r="AD2" s="9">
        <f>Y2+AA2</f>
        <v>39.935000000000002</v>
      </c>
      <c r="AE2" s="9">
        <f>W2</f>
        <v>42.39</v>
      </c>
    </row>
    <row r="3" spans="1:31" s="9" customFormat="1" x14ac:dyDescent="0.25">
      <c r="A3" s="8">
        <v>260519000000000</v>
      </c>
      <c r="B3" s="9">
        <v>895</v>
      </c>
      <c r="C3" s="9">
        <v>4260</v>
      </c>
      <c r="D3" s="9" t="s">
        <v>16</v>
      </c>
      <c r="E3" s="9" t="s">
        <v>84</v>
      </c>
      <c r="F3" s="9">
        <v>33.04</v>
      </c>
      <c r="G3" s="9">
        <v>1</v>
      </c>
      <c r="H3" s="9" t="s">
        <v>85</v>
      </c>
      <c r="I3" s="9">
        <v>33.020000000000003</v>
      </c>
      <c r="J3" s="9">
        <v>6</v>
      </c>
      <c r="K3" s="9">
        <v>0.18612826599999999</v>
      </c>
      <c r="N3" s="9">
        <v>198.12</v>
      </c>
      <c r="O3" s="9" t="b">
        <v>1</v>
      </c>
      <c r="P3" s="9" t="s">
        <v>19</v>
      </c>
    </row>
    <row r="4" spans="1:31" s="9" customFormat="1" x14ac:dyDescent="0.25">
      <c r="A4" s="8">
        <v>260518000000000</v>
      </c>
      <c r="B4" s="9">
        <v>895</v>
      </c>
      <c r="C4" s="9">
        <v>4260</v>
      </c>
      <c r="D4" s="9" t="s">
        <v>16</v>
      </c>
      <c r="E4" s="9" t="s">
        <v>86</v>
      </c>
      <c r="F4" s="9">
        <v>33.32</v>
      </c>
      <c r="G4" s="9">
        <v>1</v>
      </c>
      <c r="H4" s="9" t="s">
        <v>87</v>
      </c>
      <c r="I4" s="9">
        <v>33.42</v>
      </c>
      <c r="J4" s="9">
        <v>8</v>
      </c>
      <c r="K4" s="9">
        <v>0.18612826599999999</v>
      </c>
      <c r="N4" s="9">
        <v>267.36</v>
      </c>
      <c r="O4" s="9" t="b">
        <v>1</v>
      </c>
      <c r="P4" s="9" t="s">
        <v>19</v>
      </c>
    </row>
    <row r="5" spans="1:31" s="9" customFormat="1" x14ac:dyDescent="0.25">
      <c r="A5" s="8">
        <v>260517000000000</v>
      </c>
      <c r="B5" s="9">
        <v>895</v>
      </c>
      <c r="C5" s="9">
        <v>4260</v>
      </c>
      <c r="D5" s="9" t="s">
        <v>16</v>
      </c>
      <c r="E5" s="9" t="s">
        <v>88</v>
      </c>
      <c r="F5" s="9">
        <v>33.28</v>
      </c>
      <c r="G5" s="9">
        <v>1</v>
      </c>
      <c r="H5" s="9" t="s">
        <v>89</v>
      </c>
      <c r="I5" s="9">
        <v>33.520000000000003</v>
      </c>
      <c r="J5" s="9">
        <v>10</v>
      </c>
      <c r="K5" s="9">
        <v>0.18612826599999999</v>
      </c>
      <c r="N5" s="9">
        <v>335.2</v>
      </c>
      <c r="O5" s="9" t="b">
        <v>1</v>
      </c>
      <c r="P5" s="9" t="s">
        <v>19</v>
      </c>
    </row>
    <row r="6" spans="1:31" s="9" customFormat="1" x14ac:dyDescent="0.25">
      <c r="A6" s="8">
        <v>260514000000000</v>
      </c>
      <c r="B6" s="9">
        <v>895</v>
      </c>
      <c r="C6" s="9">
        <v>4260</v>
      </c>
      <c r="D6" s="9" t="s">
        <v>16</v>
      </c>
      <c r="E6" s="9" t="s">
        <v>90</v>
      </c>
      <c r="F6" s="9">
        <v>33.22</v>
      </c>
      <c r="G6" s="9">
        <v>1</v>
      </c>
      <c r="H6" s="9" t="s">
        <v>91</v>
      </c>
      <c r="I6" s="9">
        <v>33.14</v>
      </c>
      <c r="J6" s="9">
        <v>12</v>
      </c>
      <c r="K6" s="9">
        <v>0.18612826599999999</v>
      </c>
      <c r="N6" s="9">
        <v>397.68</v>
      </c>
      <c r="O6" s="9" t="b">
        <v>1</v>
      </c>
      <c r="P6" s="9" t="s">
        <v>19</v>
      </c>
    </row>
    <row r="7" spans="1:31" s="9" customFormat="1" x14ac:dyDescent="0.25">
      <c r="A7" s="8">
        <v>260513000000000</v>
      </c>
      <c r="B7" s="9">
        <v>895</v>
      </c>
      <c r="C7" s="9">
        <v>4260</v>
      </c>
      <c r="D7" s="9" t="s">
        <v>16</v>
      </c>
      <c r="E7" s="9" t="s">
        <v>92</v>
      </c>
      <c r="F7" s="9">
        <v>34.28</v>
      </c>
      <c r="G7" s="9">
        <v>1</v>
      </c>
      <c r="H7" s="9" t="s">
        <v>93</v>
      </c>
      <c r="I7" s="9">
        <v>34.159999999999997</v>
      </c>
      <c r="J7" s="9">
        <v>14</v>
      </c>
      <c r="K7" s="9">
        <v>0.18612826599999999</v>
      </c>
      <c r="N7" s="9">
        <v>478.24</v>
      </c>
      <c r="O7" s="9" t="b">
        <v>1</v>
      </c>
      <c r="P7" s="9" t="s">
        <v>19</v>
      </c>
    </row>
    <row r="8" spans="1:31" s="9" customFormat="1" x14ac:dyDescent="0.25">
      <c r="A8" s="8">
        <v>260512000000000</v>
      </c>
      <c r="B8" s="9">
        <v>895</v>
      </c>
      <c r="C8" s="9">
        <v>4260</v>
      </c>
      <c r="D8" s="9" t="s">
        <v>16</v>
      </c>
      <c r="E8" s="9" t="s">
        <v>94</v>
      </c>
      <c r="F8" s="9">
        <v>35.340000000000003</v>
      </c>
      <c r="G8" s="9">
        <v>1</v>
      </c>
      <c r="H8" s="9" t="s">
        <v>95</v>
      </c>
      <c r="I8" s="9">
        <v>35.28</v>
      </c>
      <c r="J8" s="9">
        <v>17</v>
      </c>
      <c r="K8" s="9">
        <v>0.18612826599999999</v>
      </c>
      <c r="N8" s="9">
        <v>599.76</v>
      </c>
      <c r="O8" s="9" t="b">
        <v>1</v>
      </c>
      <c r="P8" s="9" t="s">
        <v>19</v>
      </c>
    </row>
    <row r="9" spans="1:31" s="9" customFormat="1" x14ac:dyDescent="0.25">
      <c r="A9" s="8">
        <v>260511000000000</v>
      </c>
      <c r="B9" s="9">
        <v>895</v>
      </c>
      <c r="C9" s="9">
        <v>4260</v>
      </c>
      <c r="D9" s="9" t="s">
        <v>16</v>
      </c>
      <c r="E9" s="9" t="s">
        <v>96</v>
      </c>
      <c r="F9" s="9">
        <v>35.64</v>
      </c>
      <c r="G9" s="9">
        <v>1</v>
      </c>
      <c r="H9" s="9" t="s">
        <v>97</v>
      </c>
      <c r="I9" s="9">
        <v>35.659999999999997</v>
      </c>
      <c r="J9" s="9">
        <v>20</v>
      </c>
      <c r="K9" s="9">
        <v>0.18612826599999999</v>
      </c>
      <c r="N9" s="9">
        <v>713.2</v>
      </c>
      <c r="O9" s="9" t="b">
        <v>1</v>
      </c>
      <c r="P9" s="9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DD79-08DF-4B06-8D4D-555E76E1E325}">
  <dimension ref="A1:AE8"/>
  <sheetViews>
    <sheetView tabSelected="1"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260520000000000</v>
      </c>
      <c r="B2" s="9">
        <v>919</v>
      </c>
      <c r="C2" s="9">
        <v>4191</v>
      </c>
      <c r="D2" s="9" t="s">
        <v>16</v>
      </c>
      <c r="E2" s="9" t="s">
        <v>104</v>
      </c>
      <c r="F2" s="9">
        <v>40.9</v>
      </c>
      <c r="G2" s="9">
        <v>1</v>
      </c>
      <c r="H2" s="9" t="s">
        <v>105</v>
      </c>
      <c r="I2" s="9">
        <v>40.479999999999997</v>
      </c>
      <c r="J2" s="9">
        <v>1</v>
      </c>
      <c r="K2" s="9">
        <v>2.7272727E-2</v>
      </c>
      <c r="N2" s="9">
        <v>40.479999999999997</v>
      </c>
      <c r="O2" s="9" t="b">
        <v>1</v>
      </c>
      <c r="P2" s="9" t="s">
        <v>19</v>
      </c>
      <c r="R2" s="9">
        <f>SUM(J2:J8)</f>
        <v>29</v>
      </c>
      <c r="T2" s="9">
        <f>SUM(N2:N8)</f>
        <v>1167.44</v>
      </c>
      <c r="V2" s="9">
        <f>T2/R2</f>
        <v>40.256551724137935</v>
      </c>
      <c r="W2" s="9">
        <v>43.24</v>
      </c>
      <c r="X2" s="9">
        <v>39.020000000000003</v>
      </c>
      <c r="Y2" s="9">
        <f>((W2-X2)/2)+X2</f>
        <v>41.13</v>
      </c>
      <c r="Z2" s="9">
        <f>W2-X2</f>
        <v>4.2199999999999989</v>
      </c>
      <c r="AA2" s="9">
        <f>Z2/4</f>
        <v>1.0549999999999997</v>
      </c>
      <c r="AB2" s="9">
        <f>X2+AA2</f>
        <v>40.075000000000003</v>
      </c>
      <c r="AC2" s="9">
        <f>X2+(AA2*2)</f>
        <v>41.13</v>
      </c>
      <c r="AD2" s="9">
        <f>Y2+AA2</f>
        <v>42.185000000000002</v>
      </c>
      <c r="AE2" s="9">
        <f>W2</f>
        <v>43.24</v>
      </c>
    </row>
    <row r="3" spans="1:31" s="9" customFormat="1" x14ac:dyDescent="0.25">
      <c r="A3" s="8">
        <v>260519000000000</v>
      </c>
      <c r="B3" s="9">
        <v>919</v>
      </c>
      <c r="C3" s="9">
        <v>4191</v>
      </c>
      <c r="D3" s="9" t="s">
        <v>16</v>
      </c>
      <c r="E3" s="9" t="s">
        <v>106</v>
      </c>
      <c r="F3" s="9">
        <v>40</v>
      </c>
      <c r="G3" s="9">
        <v>1</v>
      </c>
      <c r="H3" s="9" t="s">
        <v>107</v>
      </c>
      <c r="I3" s="9">
        <v>39.92</v>
      </c>
      <c r="J3" s="9">
        <v>2</v>
      </c>
      <c r="K3" s="9">
        <v>2.7272727E-2</v>
      </c>
      <c r="N3" s="9">
        <v>79.84</v>
      </c>
      <c r="O3" s="9" t="b">
        <v>1</v>
      </c>
      <c r="P3" s="9" t="s">
        <v>19</v>
      </c>
    </row>
    <row r="4" spans="1:31" s="9" customFormat="1" x14ac:dyDescent="0.25">
      <c r="A4" s="8">
        <v>260518000000000</v>
      </c>
      <c r="B4" s="9">
        <v>919</v>
      </c>
      <c r="C4" s="9">
        <v>4191</v>
      </c>
      <c r="D4" s="9" t="s">
        <v>16</v>
      </c>
      <c r="E4" s="9" t="s">
        <v>108</v>
      </c>
      <c r="F4" s="9">
        <v>39.380000000000003</v>
      </c>
      <c r="G4" s="9">
        <v>1</v>
      </c>
      <c r="H4" s="9" t="s">
        <v>109</v>
      </c>
      <c r="I4" s="9">
        <v>39.520000000000003</v>
      </c>
      <c r="J4" s="9">
        <v>18</v>
      </c>
      <c r="K4" s="9">
        <v>0.19727272700000001</v>
      </c>
      <c r="N4" s="9">
        <v>711.36</v>
      </c>
      <c r="O4" s="9" t="b">
        <v>1</v>
      </c>
      <c r="P4" s="9" t="s">
        <v>19</v>
      </c>
    </row>
    <row r="5" spans="1:31" s="9" customFormat="1" x14ac:dyDescent="0.25">
      <c r="A5" s="8">
        <v>260517000000000</v>
      </c>
      <c r="B5" s="9">
        <v>919</v>
      </c>
      <c r="C5" s="9">
        <v>4191</v>
      </c>
      <c r="D5" s="9" t="s">
        <v>16</v>
      </c>
      <c r="E5" s="9" t="s">
        <v>110</v>
      </c>
      <c r="F5" s="9">
        <v>41.12</v>
      </c>
      <c r="G5" s="9">
        <v>1</v>
      </c>
      <c r="H5" s="9" t="s">
        <v>111</v>
      </c>
      <c r="I5" s="9">
        <v>40.82</v>
      </c>
      <c r="J5" s="9">
        <v>2</v>
      </c>
      <c r="K5" s="9">
        <v>2.7272727E-2</v>
      </c>
      <c r="N5" s="9">
        <v>81.64</v>
      </c>
      <c r="O5" s="9" t="b">
        <v>1</v>
      </c>
      <c r="P5" s="9" t="s">
        <v>19</v>
      </c>
    </row>
    <row r="6" spans="1:31" s="9" customFormat="1" x14ac:dyDescent="0.25">
      <c r="A6" s="8">
        <v>260514000000000</v>
      </c>
      <c r="B6" s="9">
        <v>919</v>
      </c>
      <c r="C6" s="9">
        <v>4191</v>
      </c>
      <c r="D6" s="9" t="s">
        <v>16</v>
      </c>
      <c r="E6" s="9" t="s">
        <v>112</v>
      </c>
      <c r="G6" s="9">
        <v>1</v>
      </c>
      <c r="H6" s="9" t="s">
        <v>113</v>
      </c>
      <c r="I6" s="9">
        <v>42.04</v>
      </c>
      <c r="J6" s="9">
        <v>2</v>
      </c>
      <c r="K6" s="9">
        <v>2.7272727E-2</v>
      </c>
      <c r="N6" s="9">
        <v>84.08</v>
      </c>
      <c r="O6" s="9" t="b">
        <v>1</v>
      </c>
      <c r="P6" s="9" t="s">
        <v>19</v>
      </c>
    </row>
    <row r="7" spans="1:31" s="9" customFormat="1" x14ac:dyDescent="0.25">
      <c r="A7" s="8">
        <v>260513000000000</v>
      </c>
      <c r="B7" s="9">
        <v>919</v>
      </c>
      <c r="C7" s="9">
        <v>4191</v>
      </c>
      <c r="D7" s="9" t="s">
        <v>16</v>
      </c>
      <c r="E7" s="9" t="s">
        <v>114</v>
      </c>
      <c r="F7" s="9">
        <v>42.58</v>
      </c>
      <c r="G7" s="9">
        <v>1</v>
      </c>
      <c r="H7" s="9" t="s">
        <v>115</v>
      </c>
      <c r="I7" s="9">
        <v>42.56</v>
      </c>
      <c r="J7" s="9">
        <v>2</v>
      </c>
      <c r="K7" s="9">
        <v>2.7272727E-2</v>
      </c>
      <c r="N7" s="9">
        <v>85.12</v>
      </c>
      <c r="O7" s="9" t="b">
        <v>1</v>
      </c>
      <c r="P7" s="9" t="s">
        <v>19</v>
      </c>
    </row>
    <row r="8" spans="1:31" s="9" customFormat="1" x14ac:dyDescent="0.25">
      <c r="A8" s="8">
        <v>260512000000000</v>
      </c>
      <c r="B8" s="9">
        <v>919</v>
      </c>
      <c r="C8" s="9">
        <v>4191</v>
      </c>
      <c r="D8" s="9" t="s">
        <v>16</v>
      </c>
      <c r="E8" s="9" t="s">
        <v>116</v>
      </c>
      <c r="F8" s="9">
        <v>42.48</v>
      </c>
      <c r="G8" s="9">
        <v>1</v>
      </c>
      <c r="H8" s="9" t="s">
        <v>117</v>
      </c>
      <c r="I8" s="9">
        <v>42.46</v>
      </c>
      <c r="J8" s="9">
        <v>2</v>
      </c>
      <c r="K8" s="9">
        <v>2.7272727E-2</v>
      </c>
      <c r="N8" s="9">
        <v>84.92</v>
      </c>
      <c r="O8" s="9" t="b">
        <v>1</v>
      </c>
      <c r="P8" s="9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2EB4-E068-4238-B085-10D408A69680}">
  <dimension ref="A1:AE4"/>
  <sheetViews>
    <sheetView topLeftCell="J1"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260520000000000</v>
      </c>
      <c r="B2" s="7">
        <v>925</v>
      </c>
      <c r="C2" s="7">
        <v>8070</v>
      </c>
      <c r="D2" s="7" t="s">
        <v>16</v>
      </c>
      <c r="E2" s="7" t="s">
        <v>118</v>
      </c>
      <c r="F2" s="7">
        <v>11.96</v>
      </c>
      <c r="G2" s="7">
        <v>2</v>
      </c>
      <c r="H2" s="7" t="s">
        <v>119</v>
      </c>
      <c r="I2" s="7">
        <v>11.77</v>
      </c>
      <c r="J2" s="7">
        <v>8</v>
      </c>
      <c r="K2" s="7">
        <v>3.6496349999999997E-2</v>
      </c>
      <c r="L2" s="7">
        <v>6.3977040000000001</v>
      </c>
      <c r="M2" s="7">
        <v>7.29</v>
      </c>
      <c r="N2" s="7">
        <v>94.16</v>
      </c>
      <c r="O2" s="7" t="b">
        <v>1</v>
      </c>
      <c r="P2" s="7" t="s">
        <v>19</v>
      </c>
      <c r="Q2" s="7">
        <f>J2</f>
        <v>8</v>
      </c>
      <c r="S2" s="7">
        <f>N2</f>
        <v>94.16</v>
      </c>
      <c r="U2" s="7">
        <f>S2/Q2</f>
        <v>11.77</v>
      </c>
      <c r="W2" s="7">
        <v>11.28</v>
      </c>
      <c r="X2" s="7">
        <v>10.73</v>
      </c>
      <c r="Y2" s="7">
        <f>((W2-X2)/2)+X2</f>
        <v>11.004999999999999</v>
      </c>
      <c r="Z2" s="7">
        <f>W2-X2</f>
        <v>0.54999999999999893</v>
      </c>
      <c r="AA2" s="7">
        <f>Z2/4</f>
        <v>0.13749999999999973</v>
      </c>
      <c r="AB2" s="7">
        <f>X2+AA2</f>
        <v>10.8675</v>
      </c>
      <c r="AC2" s="7">
        <f>X2+(AA2*2)</f>
        <v>11.004999999999999</v>
      </c>
      <c r="AD2" s="7">
        <f>Y2+AA2</f>
        <v>11.142499999999998</v>
      </c>
      <c r="AE2" s="7">
        <f>W2</f>
        <v>11.28</v>
      </c>
    </row>
    <row r="3" spans="1:31" s="7" customFormat="1" x14ac:dyDescent="0.25">
      <c r="A3" s="6">
        <v>260513000000000</v>
      </c>
      <c r="B3" s="7">
        <v>925</v>
      </c>
      <c r="C3" s="7">
        <v>8070</v>
      </c>
      <c r="D3" s="7" t="s">
        <v>16</v>
      </c>
      <c r="E3" s="7" t="s">
        <v>120</v>
      </c>
      <c r="F3" s="7">
        <v>10.97</v>
      </c>
      <c r="G3" s="7">
        <v>1</v>
      </c>
      <c r="H3" s="7" t="s">
        <v>121</v>
      </c>
      <c r="I3" s="7">
        <v>10.95</v>
      </c>
      <c r="J3" s="7">
        <v>49</v>
      </c>
      <c r="K3" s="7">
        <v>0.16</v>
      </c>
      <c r="N3" s="7">
        <v>536.54999999999995</v>
      </c>
      <c r="O3" s="7" t="b">
        <v>1</v>
      </c>
      <c r="P3" s="7" t="s">
        <v>19</v>
      </c>
      <c r="R3" s="7">
        <f>SUM(J3:J4)</f>
        <v>107</v>
      </c>
      <c r="T3" s="7">
        <f>SUM(N3:N4)</f>
        <v>1172.23</v>
      </c>
      <c r="V3" s="7">
        <f>T3/R3</f>
        <v>10.955420560747664</v>
      </c>
    </row>
    <row r="4" spans="1:31" s="7" customFormat="1" x14ac:dyDescent="0.25">
      <c r="A4" s="6">
        <v>260512000000000</v>
      </c>
      <c r="B4" s="7">
        <v>925</v>
      </c>
      <c r="C4" s="7">
        <v>8070</v>
      </c>
      <c r="D4" s="7" t="s">
        <v>16</v>
      </c>
      <c r="E4" s="7" t="s">
        <v>122</v>
      </c>
      <c r="F4" s="7">
        <v>11</v>
      </c>
      <c r="G4" s="7">
        <v>1</v>
      </c>
      <c r="H4" s="7" t="s">
        <v>123</v>
      </c>
      <c r="I4" s="7">
        <v>10.96</v>
      </c>
      <c r="J4" s="7">
        <v>58</v>
      </c>
      <c r="K4" s="7">
        <v>0.16</v>
      </c>
      <c r="N4" s="7">
        <v>635.67999999999995</v>
      </c>
      <c r="O4" s="7" t="b">
        <v>1</v>
      </c>
      <c r="P4" s="7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0692-1BCE-4AF0-B5F7-3281C1E3E18B}">
  <dimension ref="A1:AE4"/>
  <sheetViews>
    <sheetView topLeftCell="K1" workbookViewId="0">
      <selection activeCell="K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1" width="11.42578125" style="5" bestFit="1" customWidth="1"/>
    <col min="22" max="22" width="12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260519000000000</v>
      </c>
      <c r="B2" s="9">
        <v>933</v>
      </c>
      <c r="C2" s="9">
        <v>6010</v>
      </c>
      <c r="D2" s="9" t="s">
        <v>16</v>
      </c>
      <c r="E2" s="9" t="s">
        <v>124</v>
      </c>
      <c r="F2" s="9">
        <v>16.89</v>
      </c>
      <c r="G2" s="9">
        <v>2</v>
      </c>
      <c r="H2" s="9" t="s">
        <v>125</v>
      </c>
      <c r="I2" s="9">
        <v>16.91</v>
      </c>
      <c r="J2" s="9">
        <v>3</v>
      </c>
      <c r="K2" s="9">
        <v>1.9417475999999999E-2</v>
      </c>
      <c r="L2" s="9">
        <v>1.682415</v>
      </c>
      <c r="M2" s="9">
        <v>3.43</v>
      </c>
      <c r="N2" s="9">
        <v>50.73</v>
      </c>
      <c r="O2" s="9" t="b">
        <v>1</v>
      </c>
      <c r="P2" s="9" t="s">
        <v>19</v>
      </c>
      <c r="Q2" s="9">
        <f>J2</f>
        <v>3</v>
      </c>
      <c r="S2" s="9">
        <f>N2</f>
        <v>50.73</v>
      </c>
      <c r="U2" s="9">
        <f>S2/Q2</f>
        <v>16.91</v>
      </c>
      <c r="W2" s="9">
        <v>16.399999999999999</v>
      </c>
      <c r="X2" s="9">
        <v>16.14</v>
      </c>
      <c r="Y2" s="9">
        <f>((W2-X2)/2)+X2</f>
        <v>16.27</v>
      </c>
      <c r="Z2" s="9">
        <f>W2-X2</f>
        <v>0.25999999999999801</v>
      </c>
      <c r="AA2" s="9">
        <f>Z2/4</f>
        <v>6.4999999999999503E-2</v>
      </c>
      <c r="AB2" s="9">
        <f>X2+AA2</f>
        <v>16.204999999999998</v>
      </c>
      <c r="AC2" s="9">
        <f>X2+(AA2*2)</f>
        <v>16.27</v>
      </c>
      <c r="AD2" s="9">
        <f>Y2+AA2</f>
        <v>16.335000000000001</v>
      </c>
      <c r="AE2" s="9">
        <f>W2</f>
        <v>16.399999999999999</v>
      </c>
    </row>
    <row r="3" spans="1:31" s="9" customFormat="1" x14ac:dyDescent="0.25">
      <c r="A3" s="8">
        <v>260518000000000</v>
      </c>
      <c r="B3" s="9">
        <v>933</v>
      </c>
      <c r="C3" s="9">
        <v>6010</v>
      </c>
      <c r="D3" s="9" t="s">
        <v>16</v>
      </c>
      <c r="E3" s="9" t="s">
        <v>126</v>
      </c>
      <c r="F3" s="9">
        <v>16.23</v>
      </c>
      <c r="G3" s="9">
        <v>1</v>
      </c>
      <c r="H3" s="9" t="s">
        <v>127</v>
      </c>
      <c r="I3" s="9">
        <v>16.23</v>
      </c>
      <c r="J3" s="9">
        <v>34</v>
      </c>
      <c r="K3" s="9">
        <v>0.16504854399999999</v>
      </c>
      <c r="N3" s="9">
        <v>551.82000000000005</v>
      </c>
      <c r="O3" s="9" t="b">
        <v>1</v>
      </c>
      <c r="P3" s="9" t="s">
        <v>19</v>
      </c>
      <c r="R3" s="9">
        <f>SUM(J3:J4)</f>
        <v>74</v>
      </c>
      <c r="T3" s="9">
        <f>SUM(N3:N4)</f>
        <v>1207.8200000000002</v>
      </c>
      <c r="V3" s="9">
        <f>T3/R3</f>
        <v>16.321891891891894</v>
      </c>
    </row>
    <row r="4" spans="1:31" s="9" customFormat="1" x14ac:dyDescent="0.25">
      <c r="A4" s="8">
        <v>260514000000000</v>
      </c>
      <c r="B4" s="9">
        <v>933</v>
      </c>
      <c r="C4" s="9">
        <v>6010</v>
      </c>
      <c r="D4" s="9" t="s">
        <v>16</v>
      </c>
      <c r="E4" s="9" t="s">
        <v>128</v>
      </c>
      <c r="F4" s="9">
        <v>16.399999999999999</v>
      </c>
      <c r="G4" s="9">
        <v>1</v>
      </c>
      <c r="H4" s="9" t="s">
        <v>129</v>
      </c>
      <c r="I4" s="9">
        <v>16.399999999999999</v>
      </c>
      <c r="J4" s="9">
        <v>40</v>
      </c>
      <c r="K4" s="9">
        <v>0.16504854399999999</v>
      </c>
      <c r="N4" s="9">
        <v>656</v>
      </c>
      <c r="O4" s="9" t="b">
        <v>1</v>
      </c>
      <c r="P4" s="9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BEAB-5D5E-475F-9692-FEBC2557F581}">
  <dimension ref="A1:AE9"/>
  <sheetViews>
    <sheetView topLeftCell="I1" workbookViewId="0">
      <selection activeCell="I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6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260520000000000</v>
      </c>
      <c r="B2" s="7">
        <v>896</v>
      </c>
      <c r="C2" s="7">
        <v>4210</v>
      </c>
      <c r="D2" s="7" t="s">
        <v>16</v>
      </c>
      <c r="E2" s="7" t="s">
        <v>130</v>
      </c>
      <c r="F2" s="7">
        <v>75.2</v>
      </c>
      <c r="G2" s="7">
        <v>1</v>
      </c>
      <c r="H2" s="7" t="s">
        <v>131</v>
      </c>
      <c r="I2" s="7">
        <v>75.349999999999994</v>
      </c>
      <c r="J2" s="7">
        <v>1</v>
      </c>
      <c r="K2" s="7">
        <v>4.2253521000000002E-2</v>
      </c>
      <c r="N2" s="7">
        <v>75.349999999999994</v>
      </c>
      <c r="O2" s="7" t="b">
        <v>1</v>
      </c>
      <c r="P2" s="7" t="s">
        <v>19</v>
      </c>
      <c r="R2" s="7">
        <f>SUM(J2:J9)</f>
        <v>11</v>
      </c>
      <c r="T2" s="7">
        <f>SUM(N2:N9)</f>
        <v>841.7</v>
      </c>
      <c r="V2" s="7">
        <f>T2/R2</f>
        <v>76.518181818181816</v>
      </c>
      <c r="W2" s="7">
        <v>77.540000000000006</v>
      </c>
      <c r="X2" s="7">
        <v>74</v>
      </c>
      <c r="Y2" s="7">
        <f>((W2-X2)/2)+X2</f>
        <v>75.77000000000001</v>
      </c>
      <c r="Z2" s="7">
        <f>W2-X2</f>
        <v>3.5400000000000063</v>
      </c>
      <c r="AA2" s="7">
        <f>Z2/4</f>
        <v>0.88500000000000156</v>
      </c>
      <c r="AB2" s="7">
        <f>X2+AA2</f>
        <v>74.885000000000005</v>
      </c>
      <c r="AC2" s="7">
        <f>X2+(AA2*2)</f>
        <v>75.77000000000001</v>
      </c>
      <c r="AD2" s="7">
        <f>Y2+AA2</f>
        <v>76.655000000000015</v>
      </c>
      <c r="AE2" s="7">
        <f>W2</f>
        <v>77.540000000000006</v>
      </c>
    </row>
    <row r="3" spans="1:31" s="7" customFormat="1" x14ac:dyDescent="0.25">
      <c r="A3" s="6">
        <v>260519000000000</v>
      </c>
      <c r="B3" s="7">
        <v>896</v>
      </c>
      <c r="C3" s="7">
        <v>4210</v>
      </c>
      <c r="D3" s="7" t="s">
        <v>16</v>
      </c>
      <c r="E3" s="7" t="s">
        <v>132</v>
      </c>
      <c r="F3" s="7">
        <v>76</v>
      </c>
      <c r="G3" s="7">
        <v>1</v>
      </c>
      <c r="H3" s="7" t="s">
        <v>133</v>
      </c>
      <c r="I3" s="7">
        <v>75.95</v>
      </c>
      <c r="J3" s="7">
        <v>1</v>
      </c>
      <c r="K3" s="7">
        <v>4.2253521000000002E-2</v>
      </c>
      <c r="N3" s="7">
        <v>75.95</v>
      </c>
      <c r="O3" s="7" t="b">
        <v>1</v>
      </c>
      <c r="P3" s="7" t="s">
        <v>19</v>
      </c>
    </row>
    <row r="4" spans="1:31" s="7" customFormat="1" x14ac:dyDescent="0.25">
      <c r="A4" s="6">
        <v>260518000000000</v>
      </c>
      <c r="B4" s="7">
        <v>896</v>
      </c>
      <c r="C4" s="7">
        <v>4210</v>
      </c>
      <c r="D4" s="7" t="s">
        <v>16</v>
      </c>
      <c r="E4" s="7" t="s">
        <v>134</v>
      </c>
      <c r="F4" s="7">
        <v>76.400000000000006</v>
      </c>
      <c r="G4" s="7">
        <v>1</v>
      </c>
      <c r="H4" s="7" t="s">
        <v>135</v>
      </c>
      <c r="I4" s="7">
        <v>77.599999999999994</v>
      </c>
      <c r="J4" s="7">
        <v>1</v>
      </c>
      <c r="K4" s="7">
        <v>4.2253521000000002E-2</v>
      </c>
      <c r="N4" s="7">
        <v>77.599999999999994</v>
      </c>
      <c r="O4" s="7" t="b">
        <v>1</v>
      </c>
      <c r="P4" s="7" t="s">
        <v>19</v>
      </c>
    </row>
    <row r="5" spans="1:31" s="7" customFormat="1" x14ac:dyDescent="0.25">
      <c r="A5" s="6">
        <v>260517000000000</v>
      </c>
      <c r="B5" s="7">
        <v>896</v>
      </c>
      <c r="C5" s="7">
        <v>4210</v>
      </c>
      <c r="D5" s="7" t="s">
        <v>16</v>
      </c>
      <c r="E5" s="7" t="s">
        <v>136</v>
      </c>
      <c r="F5" s="7">
        <v>76</v>
      </c>
      <c r="G5" s="7">
        <v>1</v>
      </c>
      <c r="H5" s="7" t="s">
        <v>137</v>
      </c>
      <c r="I5" s="7">
        <v>76.150000000000006</v>
      </c>
      <c r="J5" s="7">
        <v>1</v>
      </c>
      <c r="K5" s="7">
        <v>4.2253521000000002E-2</v>
      </c>
      <c r="N5" s="7">
        <v>76.150000000000006</v>
      </c>
      <c r="O5" s="7" t="b">
        <v>1</v>
      </c>
      <c r="P5" s="7" t="s">
        <v>19</v>
      </c>
    </row>
    <row r="6" spans="1:31" s="7" customFormat="1" x14ac:dyDescent="0.25">
      <c r="A6" s="6">
        <v>260514000000000</v>
      </c>
      <c r="B6" s="7">
        <v>896</v>
      </c>
      <c r="C6" s="7">
        <v>4210</v>
      </c>
      <c r="D6" s="7" t="s">
        <v>16</v>
      </c>
      <c r="E6" s="7" t="s">
        <v>138</v>
      </c>
      <c r="F6" s="7">
        <v>75.349999999999994</v>
      </c>
      <c r="G6" s="7">
        <v>1</v>
      </c>
      <c r="H6" s="7" t="s">
        <v>139</v>
      </c>
      <c r="I6" s="7">
        <v>75.150000000000006</v>
      </c>
      <c r="J6" s="7">
        <v>1</v>
      </c>
      <c r="K6" s="7">
        <v>4.2253521000000002E-2</v>
      </c>
      <c r="N6" s="7">
        <v>75.150000000000006</v>
      </c>
      <c r="O6" s="7" t="b">
        <v>1</v>
      </c>
      <c r="P6" s="7" t="s">
        <v>19</v>
      </c>
    </row>
    <row r="7" spans="1:31" s="7" customFormat="1" x14ac:dyDescent="0.25">
      <c r="A7" s="6">
        <v>260513000000000</v>
      </c>
      <c r="B7" s="7">
        <v>896</v>
      </c>
      <c r="C7" s="7">
        <v>4210</v>
      </c>
      <c r="D7" s="7" t="s">
        <v>16</v>
      </c>
      <c r="E7" s="7" t="s">
        <v>140</v>
      </c>
      <c r="F7" s="7">
        <v>75.3</v>
      </c>
      <c r="G7" s="7">
        <v>1</v>
      </c>
      <c r="H7" s="7" t="s">
        <v>141</v>
      </c>
      <c r="I7" s="7">
        <v>75.55</v>
      </c>
      <c r="J7" s="7">
        <v>2</v>
      </c>
      <c r="K7" s="7">
        <v>4.2253521000000002E-2</v>
      </c>
      <c r="N7" s="7">
        <v>151.1</v>
      </c>
      <c r="O7" s="7" t="b">
        <v>1</v>
      </c>
      <c r="P7" s="7" t="s">
        <v>19</v>
      </c>
    </row>
    <row r="8" spans="1:31" s="7" customFormat="1" x14ac:dyDescent="0.25">
      <c r="A8" s="6">
        <v>260512000000000</v>
      </c>
      <c r="B8" s="7">
        <v>896</v>
      </c>
      <c r="C8" s="7">
        <v>4210</v>
      </c>
      <c r="D8" s="7" t="s">
        <v>16</v>
      </c>
      <c r="E8" s="7" t="s">
        <v>142</v>
      </c>
      <c r="F8" s="7">
        <v>77.349999999999994</v>
      </c>
      <c r="G8" s="7">
        <v>1</v>
      </c>
      <c r="H8" s="7" t="s">
        <v>143</v>
      </c>
      <c r="I8" s="7">
        <v>77.25</v>
      </c>
      <c r="J8" s="7">
        <v>2</v>
      </c>
      <c r="K8" s="7">
        <v>4.2253521000000002E-2</v>
      </c>
      <c r="N8" s="7">
        <v>154.5</v>
      </c>
      <c r="O8" s="7" t="b">
        <v>1</v>
      </c>
      <c r="P8" s="7" t="s">
        <v>19</v>
      </c>
    </row>
    <row r="9" spans="1:31" s="7" customFormat="1" x14ac:dyDescent="0.25">
      <c r="A9" s="6">
        <v>260511000000000</v>
      </c>
      <c r="B9" s="7">
        <v>896</v>
      </c>
      <c r="C9" s="7">
        <v>4210</v>
      </c>
      <c r="D9" s="7" t="s">
        <v>16</v>
      </c>
      <c r="E9" s="7" t="s">
        <v>144</v>
      </c>
      <c r="F9" s="7">
        <v>77.75</v>
      </c>
      <c r="G9" s="7">
        <v>1</v>
      </c>
      <c r="H9" s="7" t="s">
        <v>145</v>
      </c>
      <c r="I9" s="7">
        <v>77.95</v>
      </c>
      <c r="J9" s="7">
        <v>2</v>
      </c>
      <c r="K9" s="7">
        <v>4.2253521000000002E-2</v>
      </c>
      <c r="N9" s="7">
        <v>155.9</v>
      </c>
      <c r="O9" s="7" t="b">
        <v>1</v>
      </c>
      <c r="P9" s="7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CE54-2999-4C76-82C9-8366C17604C7}">
  <dimension ref="A1:AE4"/>
  <sheetViews>
    <sheetView topLeftCell="J1"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6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1" width="11.42578125" style="5" bestFit="1" customWidth="1"/>
    <col min="22" max="22" width="12" style="5" bestFit="1" customWidth="1"/>
    <col min="23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260517000000000</v>
      </c>
      <c r="B2" s="9">
        <v>927</v>
      </c>
      <c r="C2" s="9">
        <v>8230</v>
      </c>
      <c r="D2" s="9" t="s">
        <v>16</v>
      </c>
      <c r="E2" s="9" t="s">
        <v>146</v>
      </c>
      <c r="F2" s="9">
        <v>102</v>
      </c>
      <c r="G2" s="9">
        <v>1</v>
      </c>
      <c r="H2" s="9" t="s">
        <v>147</v>
      </c>
      <c r="I2" s="9">
        <v>102.5</v>
      </c>
      <c r="J2" s="9">
        <v>4</v>
      </c>
      <c r="K2" s="9">
        <v>0.19</v>
      </c>
      <c r="N2" s="9">
        <v>410</v>
      </c>
      <c r="O2" s="9" t="b">
        <v>1</v>
      </c>
      <c r="P2" s="9" t="s">
        <v>19</v>
      </c>
      <c r="R2" s="9">
        <f>SUM(J2:J4)</f>
        <v>17</v>
      </c>
      <c r="T2" s="9">
        <f>SUM(N2:N4)</f>
        <v>1756.7</v>
      </c>
      <c r="V2" s="9">
        <f>T2/R2</f>
        <v>103.33529411764707</v>
      </c>
      <c r="W2" s="9">
        <v>112.22</v>
      </c>
      <c r="X2" s="9">
        <v>101.03</v>
      </c>
      <c r="Y2" s="9">
        <f>((W2-X2)/2)+X2</f>
        <v>106.625</v>
      </c>
      <c r="Z2" s="9">
        <f>W2-X2</f>
        <v>11.189999999999998</v>
      </c>
      <c r="AA2" s="9">
        <f>Z2/4</f>
        <v>2.7974999999999994</v>
      </c>
      <c r="AB2" s="9">
        <f>X2+AA2</f>
        <v>103.8275</v>
      </c>
      <c r="AC2" s="9">
        <f>X2+(AA2*2)</f>
        <v>106.625</v>
      </c>
      <c r="AD2" s="9">
        <f>Y2+AA2</f>
        <v>109.4225</v>
      </c>
      <c r="AE2" s="9">
        <f>W2</f>
        <v>112.22</v>
      </c>
    </row>
    <row r="3" spans="1:31" s="9" customFormat="1" x14ac:dyDescent="0.25">
      <c r="A3" s="8">
        <v>260513000000000</v>
      </c>
      <c r="B3" s="9">
        <v>927</v>
      </c>
      <c r="C3" s="9">
        <v>8230</v>
      </c>
      <c r="D3" s="9" t="s">
        <v>16</v>
      </c>
      <c r="E3" s="9" t="s">
        <v>148</v>
      </c>
      <c r="F3" s="9">
        <v>103.4</v>
      </c>
      <c r="G3" s="9">
        <v>1</v>
      </c>
      <c r="H3" s="9" t="s">
        <v>149</v>
      </c>
      <c r="I3" s="9">
        <v>103</v>
      </c>
      <c r="J3" s="9">
        <v>6</v>
      </c>
      <c r="K3" s="9">
        <v>0.19</v>
      </c>
      <c r="N3" s="9">
        <v>618</v>
      </c>
      <c r="O3" s="9" t="b">
        <v>1</v>
      </c>
      <c r="P3" s="9" t="s">
        <v>19</v>
      </c>
    </row>
    <row r="4" spans="1:31" s="9" customFormat="1" x14ac:dyDescent="0.25">
      <c r="A4" s="8">
        <v>260512000000000</v>
      </c>
      <c r="B4" s="9">
        <v>927</v>
      </c>
      <c r="C4" s="9">
        <v>8230</v>
      </c>
      <c r="D4" s="9" t="s">
        <v>16</v>
      </c>
      <c r="E4" s="9" t="s">
        <v>150</v>
      </c>
      <c r="F4" s="9">
        <v>104.1</v>
      </c>
      <c r="G4" s="9">
        <v>1</v>
      </c>
      <c r="H4" s="9" t="s">
        <v>151</v>
      </c>
      <c r="I4" s="9">
        <v>104.1</v>
      </c>
      <c r="J4" s="9">
        <v>7</v>
      </c>
      <c r="K4" s="9">
        <v>0.19</v>
      </c>
      <c r="N4" s="9">
        <v>728.7</v>
      </c>
      <c r="O4" s="9" t="b">
        <v>1</v>
      </c>
      <c r="P4" s="9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78E8-AD39-48ED-8028-FC13A20791F2}">
  <dimension ref="A1:AE10"/>
  <sheetViews>
    <sheetView topLeftCell="J1"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260521000000000</v>
      </c>
      <c r="B2" s="7">
        <v>910</v>
      </c>
      <c r="C2" s="7">
        <v>8040</v>
      </c>
      <c r="D2" s="7" t="s">
        <v>16</v>
      </c>
      <c r="E2" s="7" t="s">
        <v>152</v>
      </c>
      <c r="F2" s="7">
        <v>8.56</v>
      </c>
      <c r="G2" s="7">
        <v>1</v>
      </c>
      <c r="H2" s="7" t="s">
        <v>153</v>
      </c>
      <c r="J2" s="7">
        <v>13</v>
      </c>
      <c r="K2" s="7">
        <v>3.8647343000000001E-2</v>
      </c>
      <c r="N2" s="7">
        <v>0</v>
      </c>
      <c r="O2" s="7" t="b">
        <v>0</v>
      </c>
      <c r="P2" s="7" t="s">
        <v>19</v>
      </c>
      <c r="W2" s="7">
        <v>9</v>
      </c>
      <c r="X2" s="7">
        <v>8.3699999999999992</v>
      </c>
      <c r="Y2" s="7">
        <f>((W2-X2)/2)+X2</f>
        <v>8.6849999999999987</v>
      </c>
      <c r="Z2" s="7">
        <f>W2-X2</f>
        <v>0.63000000000000078</v>
      </c>
      <c r="AA2" s="7">
        <f>Z2/4</f>
        <v>0.1575000000000002</v>
      </c>
      <c r="AB2" s="7">
        <f>X2+AA2</f>
        <v>8.5274999999999999</v>
      </c>
      <c r="AC2" s="7">
        <f>X2+(AA2*2)</f>
        <v>8.6849999999999987</v>
      </c>
      <c r="AD2" s="7">
        <f>Y2+AA2</f>
        <v>8.8424999999999994</v>
      </c>
      <c r="AE2" s="7">
        <f>W2</f>
        <v>9</v>
      </c>
    </row>
    <row r="3" spans="1:31" s="7" customFormat="1" x14ac:dyDescent="0.25">
      <c r="A3" s="6">
        <v>260520000000000</v>
      </c>
      <c r="B3" s="7">
        <v>910</v>
      </c>
      <c r="C3" s="7">
        <v>8040</v>
      </c>
      <c r="D3" s="7" t="s">
        <v>16</v>
      </c>
      <c r="E3" s="7" t="s">
        <v>154</v>
      </c>
      <c r="F3" s="7">
        <v>8.49</v>
      </c>
      <c r="G3" s="7">
        <v>1</v>
      </c>
      <c r="H3" s="7" t="s">
        <v>155</v>
      </c>
      <c r="I3" s="7">
        <v>8.43</v>
      </c>
      <c r="J3" s="7">
        <v>13</v>
      </c>
      <c r="K3" s="7">
        <v>3.8647343000000001E-2</v>
      </c>
      <c r="N3" s="7">
        <v>109.59</v>
      </c>
      <c r="O3" s="7" t="b">
        <v>1</v>
      </c>
      <c r="P3" s="7" t="s">
        <v>19</v>
      </c>
      <c r="R3" s="7">
        <f>SUM(J3:J10)</f>
        <v>121</v>
      </c>
      <c r="T3" s="7">
        <f>SUM(N3:N10)</f>
        <v>1050.8499999999999</v>
      </c>
      <c r="V3" s="7">
        <f>T3/R3</f>
        <v>8.6847107438016522</v>
      </c>
    </row>
    <row r="4" spans="1:31" s="7" customFormat="1" x14ac:dyDescent="0.25">
      <c r="A4" s="6">
        <v>260519000000000</v>
      </c>
      <c r="B4" s="7">
        <v>910</v>
      </c>
      <c r="C4" s="7">
        <v>8040</v>
      </c>
      <c r="D4" s="7" t="s">
        <v>16</v>
      </c>
      <c r="E4" s="7" t="s">
        <v>156</v>
      </c>
      <c r="F4" s="7">
        <v>8.6199999999999992</v>
      </c>
      <c r="G4" s="7">
        <v>1</v>
      </c>
      <c r="H4" s="7" t="s">
        <v>157</v>
      </c>
      <c r="I4" s="7">
        <v>8.6199999999999992</v>
      </c>
      <c r="J4" s="7">
        <v>14</v>
      </c>
      <c r="K4" s="7">
        <v>3.8647343000000001E-2</v>
      </c>
      <c r="N4" s="7">
        <v>120.68</v>
      </c>
      <c r="O4" s="7" t="b">
        <v>1</v>
      </c>
      <c r="P4" s="7" t="s">
        <v>19</v>
      </c>
    </row>
    <row r="5" spans="1:31" s="7" customFormat="1" x14ac:dyDescent="0.25">
      <c r="A5" s="6">
        <v>260518000000000</v>
      </c>
      <c r="B5" s="7">
        <v>910</v>
      </c>
      <c r="C5" s="7">
        <v>8040</v>
      </c>
      <c r="D5" s="7" t="s">
        <v>16</v>
      </c>
      <c r="E5" s="7" t="s">
        <v>158</v>
      </c>
      <c r="F5" s="7">
        <v>8.57</v>
      </c>
      <c r="G5" s="7">
        <v>1</v>
      </c>
      <c r="H5" s="7" t="s">
        <v>159</v>
      </c>
      <c r="I5" s="7">
        <v>8.61</v>
      </c>
      <c r="J5" s="7">
        <v>14</v>
      </c>
      <c r="K5" s="7">
        <v>3.8647343000000001E-2</v>
      </c>
      <c r="N5" s="7">
        <v>120.54</v>
      </c>
      <c r="O5" s="7" t="b">
        <v>1</v>
      </c>
      <c r="P5" s="7" t="s">
        <v>19</v>
      </c>
    </row>
    <row r="6" spans="1:31" s="7" customFormat="1" x14ac:dyDescent="0.25">
      <c r="A6" s="6">
        <v>260517000000000</v>
      </c>
      <c r="B6" s="7">
        <v>910</v>
      </c>
      <c r="C6" s="7">
        <v>8040</v>
      </c>
      <c r="D6" s="7" t="s">
        <v>16</v>
      </c>
      <c r="E6" s="7" t="s">
        <v>160</v>
      </c>
      <c r="F6" s="7">
        <v>8.73</v>
      </c>
      <c r="G6" s="7">
        <v>1</v>
      </c>
      <c r="H6" s="7" t="s">
        <v>161</v>
      </c>
      <c r="I6" s="7">
        <v>8.7200000000000006</v>
      </c>
      <c r="J6" s="7">
        <v>15</v>
      </c>
      <c r="K6" s="7">
        <v>3.8647343000000001E-2</v>
      </c>
      <c r="N6" s="7">
        <v>130.80000000000001</v>
      </c>
      <c r="O6" s="7" t="b">
        <v>1</v>
      </c>
      <c r="P6" s="7" t="s">
        <v>19</v>
      </c>
    </row>
    <row r="7" spans="1:31" s="7" customFormat="1" x14ac:dyDescent="0.25">
      <c r="A7" s="6">
        <v>260514000000000</v>
      </c>
      <c r="B7" s="7">
        <v>910</v>
      </c>
      <c r="C7" s="7">
        <v>8040</v>
      </c>
      <c r="D7" s="7" t="s">
        <v>16</v>
      </c>
      <c r="E7" s="7" t="s">
        <v>162</v>
      </c>
      <c r="F7" s="7">
        <v>8.6199999999999992</v>
      </c>
      <c r="G7" s="7">
        <v>1</v>
      </c>
      <c r="H7" s="7" t="s">
        <v>163</v>
      </c>
      <c r="I7" s="7">
        <v>8.6300000000000008</v>
      </c>
      <c r="J7" s="7">
        <v>16</v>
      </c>
      <c r="K7" s="7">
        <v>3.8647343000000001E-2</v>
      </c>
      <c r="N7" s="7">
        <v>138.08000000000001</v>
      </c>
      <c r="O7" s="7" t="b">
        <v>1</v>
      </c>
      <c r="P7" s="7" t="s">
        <v>19</v>
      </c>
    </row>
    <row r="8" spans="1:31" s="7" customFormat="1" x14ac:dyDescent="0.25">
      <c r="A8" s="6">
        <v>260513000000000</v>
      </c>
      <c r="B8" s="7">
        <v>910</v>
      </c>
      <c r="C8" s="7">
        <v>8040</v>
      </c>
      <c r="D8" s="7" t="s">
        <v>16</v>
      </c>
      <c r="E8" s="7" t="s">
        <v>164</v>
      </c>
      <c r="F8" s="7">
        <v>8.7100000000000009</v>
      </c>
      <c r="G8" s="7">
        <v>1</v>
      </c>
      <c r="H8" s="7" t="s">
        <v>165</v>
      </c>
      <c r="I8" s="7">
        <v>8.68</v>
      </c>
      <c r="J8" s="7">
        <v>16</v>
      </c>
      <c r="K8" s="7">
        <v>3.8647343000000001E-2</v>
      </c>
      <c r="N8" s="7">
        <v>138.88</v>
      </c>
      <c r="O8" s="7" t="b">
        <v>1</v>
      </c>
      <c r="P8" s="7" t="s">
        <v>19</v>
      </c>
    </row>
    <row r="9" spans="1:31" s="7" customFormat="1" x14ac:dyDescent="0.25">
      <c r="A9" s="6">
        <v>260512000000000</v>
      </c>
      <c r="B9" s="7">
        <v>910</v>
      </c>
      <c r="C9" s="7">
        <v>8040</v>
      </c>
      <c r="D9" s="7" t="s">
        <v>16</v>
      </c>
      <c r="E9" s="7" t="s">
        <v>166</v>
      </c>
      <c r="G9" s="7">
        <v>1</v>
      </c>
      <c r="H9" s="7" t="s">
        <v>167</v>
      </c>
      <c r="I9" s="7">
        <v>8.7899999999999991</v>
      </c>
      <c r="J9" s="7">
        <v>16</v>
      </c>
      <c r="K9" s="7">
        <v>3.8647343000000001E-2</v>
      </c>
      <c r="N9" s="7">
        <v>140.63999999999999</v>
      </c>
      <c r="O9" s="7" t="b">
        <v>1</v>
      </c>
      <c r="P9" s="7" t="s">
        <v>19</v>
      </c>
    </row>
    <row r="10" spans="1:31" s="7" customFormat="1" x14ac:dyDescent="0.25">
      <c r="A10" s="6">
        <v>260511000000000</v>
      </c>
      <c r="B10" s="7">
        <v>910</v>
      </c>
      <c r="C10" s="7">
        <v>8040</v>
      </c>
      <c r="D10" s="7" t="s">
        <v>16</v>
      </c>
      <c r="E10" s="7" t="s">
        <v>168</v>
      </c>
      <c r="F10" s="7">
        <v>8.9499999999999993</v>
      </c>
      <c r="G10" s="7">
        <v>1</v>
      </c>
      <c r="H10" s="7" t="s">
        <v>169</v>
      </c>
      <c r="I10" s="7">
        <v>8.92</v>
      </c>
      <c r="J10" s="7">
        <v>17</v>
      </c>
      <c r="K10" s="7">
        <v>3.8647343000000001E-2</v>
      </c>
      <c r="N10" s="7">
        <v>151.63999999999999</v>
      </c>
      <c r="O10" s="7" t="b">
        <v>1</v>
      </c>
      <c r="P10" s="7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2841-D53B-4282-8681-950A70FF6A94}">
  <dimension ref="A1:AE4"/>
  <sheetViews>
    <sheetView topLeftCell="J1"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5.85546875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260518000000000</v>
      </c>
      <c r="B2" s="9">
        <v>914</v>
      </c>
      <c r="C2" s="9">
        <v>2200</v>
      </c>
      <c r="D2" s="9" t="s">
        <v>16</v>
      </c>
      <c r="E2" s="9" t="s">
        <v>170</v>
      </c>
      <c r="F2" s="9">
        <v>6.85</v>
      </c>
      <c r="G2" s="9">
        <v>1</v>
      </c>
      <c r="H2" s="9" t="s">
        <v>171</v>
      </c>
      <c r="I2" s="9">
        <v>6.87</v>
      </c>
      <c r="J2" s="9">
        <v>43</v>
      </c>
      <c r="K2" s="9">
        <v>0.09</v>
      </c>
      <c r="N2" s="9">
        <v>295.41000000000003</v>
      </c>
      <c r="O2" s="9" t="b">
        <v>1</v>
      </c>
      <c r="P2" s="9" t="s">
        <v>19</v>
      </c>
      <c r="R2" s="9">
        <f>SUM(J2:J4)</f>
        <v>141</v>
      </c>
      <c r="T2" s="9">
        <f>SUM(N2:N4)</f>
        <v>977.69</v>
      </c>
      <c r="V2" s="9">
        <f>T2/R2</f>
        <v>6.9339716312056741</v>
      </c>
      <c r="W2" s="9">
        <v>7.11</v>
      </c>
      <c r="X2" s="9">
        <v>6.72</v>
      </c>
      <c r="Y2" s="9">
        <f>((W2-X2)/2)+X2</f>
        <v>6.915</v>
      </c>
      <c r="Z2" s="9">
        <f>W2-X2</f>
        <v>0.39000000000000057</v>
      </c>
      <c r="AA2" s="9">
        <f>Z2/4</f>
        <v>9.7500000000000142E-2</v>
      </c>
      <c r="AB2" s="9">
        <f>X2+AA2</f>
        <v>6.8174999999999999</v>
      </c>
      <c r="AC2" s="9">
        <f>X2+(AA2*2)</f>
        <v>6.915</v>
      </c>
      <c r="AD2" s="9">
        <f>Y2+AA2</f>
        <v>7.0125000000000002</v>
      </c>
      <c r="AE2" s="9">
        <f>W2</f>
        <v>7.11</v>
      </c>
    </row>
    <row r="3" spans="1:31" s="9" customFormat="1" x14ac:dyDescent="0.25">
      <c r="A3" s="8">
        <v>260517000000000</v>
      </c>
      <c r="B3" s="9">
        <v>914</v>
      </c>
      <c r="C3" s="9">
        <v>2200</v>
      </c>
      <c r="D3" s="9" t="s">
        <v>16</v>
      </c>
      <c r="E3" s="9" t="s">
        <v>172</v>
      </c>
      <c r="F3" s="9">
        <v>6.89</v>
      </c>
      <c r="G3" s="9">
        <v>1</v>
      </c>
      <c r="H3" s="9" t="s">
        <v>173</v>
      </c>
      <c r="I3" s="9">
        <v>6.91</v>
      </c>
      <c r="J3" s="9">
        <v>47</v>
      </c>
      <c r="K3" s="9">
        <v>0.09</v>
      </c>
      <c r="N3" s="9">
        <v>324.77</v>
      </c>
      <c r="O3" s="9" t="b">
        <v>1</v>
      </c>
      <c r="P3" s="9" t="s">
        <v>19</v>
      </c>
    </row>
    <row r="4" spans="1:31" s="9" customFormat="1" x14ac:dyDescent="0.25">
      <c r="A4" s="8">
        <v>260511000000000</v>
      </c>
      <c r="B4" s="9">
        <v>914</v>
      </c>
      <c r="C4" s="9">
        <v>2200</v>
      </c>
      <c r="D4" s="9" t="s">
        <v>16</v>
      </c>
      <c r="E4" s="9" t="s">
        <v>174</v>
      </c>
      <c r="F4" s="9">
        <v>6.97</v>
      </c>
      <c r="G4" s="9">
        <v>1</v>
      </c>
      <c r="H4" s="9" t="s">
        <v>175</v>
      </c>
      <c r="I4" s="9">
        <v>7.01</v>
      </c>
      <c r="J4" s="9">
        <v>51</v>
      </c>
      <c r="K4" s="9">
        <v>0.09</v>
      </c>
      <c r="N4" s="9">
        <v>357.51</v>
      </c>
      <c r="O4" s="9" t="b">
        <v>1</v>
      </c>
      <c r="P4" s="9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E237-2E7C-4D75-8D50-BB70FBE352D9}">
  <dimension ref="A1:AE9"/>
  <sheetViews>
    <sheetView topLeftCell="I1" workbookViewId="0">
      <selection activeCell="I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260521000000000</v>
      </c>
      <c r="B2" s="7">
        <v>911</v>
      </c>
      <c r="C2" s="7">
        <v>8170</v>
      </c>
      <c r="D2" s="7" t="s">
        <v>16</v>
      </c>
      <c r="E2" s="7" t="s">
        <v>176</v>
      </c>
      <c r="F2" s="7">
        <v>5.83</v>
      </c>
      <c r="G2" s="7">
        <v>1</v>
      </c>
      <c r="H2" s="7" t="s">
        <v>177</v>
      </c>
      <c r="J2" s="7">
        <v>16</v>
      </c>
      <c r="K2" s="7">
        <v>0.11688311699999999</v>
      </c>
      <c r="N2" s="7">
        <v>0</v>
      </c>
      <c r="O2" s="7" t="b">
        <v>0</v>
      </c>
      <c r="P2" s="7" t="s">
        <v>19</v>
      </c>
      <c r="W2" s="7">
        <v>6.51</v>
      </c>
      <c r="X2" s="7">
        <v>5.68</v>
      </c>
      <c r="Y2" s="7">
        <f>((W2-X2)/2)+X2</f>
        <v>6.0949999999999998</v>
      </c>
      <c r="Z2" s="7">
        <f>W2-X2</f>
        <v>0.83000000000000007</v>
      </c>
      <c r="AA2" s="7">
        <f>Z2/4</f>
        <v>0.20750000000000002</v>
      </c>
      <c r="AB2" s="7">
        <f>X2+AA2</f>
        <v>5.8874999999999993</v>
      </c>
      <c r="AC2" s="7">
        <f>X2+(AA2*2)</f>
        <v>6.0949999999999998</v>
      </c>
      <c r="AD2" s="7">
        <f>Y2+AA2</f>
        <v>6.3025000000000002</v>
      </c>
      <c r="AE2" s="7">
        <f>W2</f>
        <v>6.51</v>
      </c>
    </row>
    <row r="3" spans="1:31" s="7" customFormat="1" x14ac:dyDescent="0.25">
      <c r="A3" s="6">
        <v>260519000000000</v>
      </c>
      <c r="B3" s="7">
        <v>911</v>
      </c>
      <c r="C3" s="7">
        <v>8170</v>
      </c>
      <c r="D3" s="7" t="s">
        <v>16</v>
      </c>
      <c r="E3" s="7" t="s">
        <v>178</v>
      </c>
      <c r="F3" s="7">
        <v>5.81</v>
      </c>
      <c r="G3" s="7">
        <v>1</v>
      </c>
      <c r="H3" s="7" t="s">
        <v>179</v>
      </c>
      <c r="I3" s="7">
        <v>5.82</v>
      </c>
      <c r="J3" s="7">
        <v>18</v>
      </c>
      <c r="K3" s="7">
        <v>0.11688311699999999</v>
      </c>
      <c r="N3" s="7">
        <v>104.76</v>
      </c>
      <c r="O3" s="7" t="b">
        <v>1</v>
      </c>
      <c r="P3" s="7" t="s">
        <v>19</v>
      </c>
      <c r="R3" s="7">
        <f>SUM(J3:J9)</f>
        <v>541</v>
      </c>
      <c r="T3" s="7">
        <f>SUM(N3:N9)</f>
        <v>3194.2400000000002</v>
      </c>
      <c r="V3" s="7">
        <f>T3/R3</f>
        <v>5.9043253234750468</v>
      </c>
    </row>
    <row r="4" spans="1:31" s="7" customFormat="1" x14ac:dyDescent="0.25">
      <c r="A4" s="6">
        <v>260518000000000</v>
      </c>
      <c r="B4" s="7">
        <v>911</v>
      </c>
      <c r="C4" s="7">
        <v>8170</v>
      </c>
      <c r="D4" s="7" t="s">
        <v>16</v>
      </c>
      <c r="E4" s="7" t="s">
        <v>180</v>
      </c>
      <c r="F4" s="7">
        <v>5.8</v>
      </c>
      <c r="G4" s="7">
        <v>1</v>
      </c>
      <c r="H4" s="7" t="s">
        <v>181</v>
      </c>
      <c r="I4" s="7">
        <v>5.81</v>
      </c>
      <c r="J4" s="7">
        <v>57</v>
      </c>
      <c r="K4" s="7">
        <v>0.266883117</v>
      </c>
      <c r="N4" s="7">
        <v>331.17</v>
      </c>
      <c r="O4" s="7" t="b">
        <v>1</v>
      </c>
      <c r="P4" s="7" t="s">
        <v>19</v>
      </c>
    </row>
    <row r="5" spans="1:31" s="7" customFormat="1" x14ac:dyDescent="0.25">
      <c r="A5" s="6">
        <v>260517000000000</v>
      </c>
      <c r="B5" s="7">
        <v>911</v>
      </c>
      <c r="C5" s="7">
        <v>8170</v>
      </c>
      <c r="D5" s="7" t="s">
        <v>16</v>
      </c>
      <c r="E5" s="7" t="s">
        <v>182</v>
      </c>
      <c r="F5" s="7">
        <v>5.86</v>
      </c>
      <c r="G5" s="7">
        <v>1</v>
      </c>
      <c r="H5" s="7" t="s">
        <v>183</v>
      </c>
      <c r="I5" s="7">
        <v>5.88</v>
      </c>
      <c r="J5" s="7">
        <v>76</v>
      </c>
      <c r="K5" s="7">
        <v>0.266883117</v>
      </c>
      <c r="N5" s="7">
        <v>446.88</v>
      </c>
      <c r="O5" s="7" t="b">
        <v>1</v>
      </c>
      <c r="P5" s="7" t="s">
        <v>19</v>
      </c>
    </row>
    <row r="6" spans="1:31" s="7" customFormat="1" x14ac:dyDescent="0.25">
      <c r="A6" s="6">
        <v>260514000000000</v>
      </c>
      <c r="B6" s="7">
        <v>911</v>
      </c>
      <c r="C6" s="7">
        <v>8170</v>
      </c>
      <c r="D6" s="7" t="s">
        <v>16</v>
      </c>
      <c r="E6" s="7" t="s">
        <v>184</v>
      </c>
      <c r="F6" s="7">
        <v>5.85</v>
      </c>
      <c r="G6" s="7">
        <v>1</v>
      </c>
      <c r="H6" s="7" t="s">
        <v>185</v>
      </c>
      <c r="I6" s="7">
        <v>5.85</v>
      </c>
      <c r="J6" s="7">
        <v>104</v>
      </c>
      <c r="K6" s="7">
        <v>0.266883117</v>
      </c>
      <c r="N6" s="7">
        <v>608.4</v>
      </c>
      <c r="O6" s="7" t="b">
        <v>1</v>
      </c>
      <c r="P6" s="7" t="s">
        <v>19</v>
      </c>
    </row>
    <row r="7" spans="1:31" s="7" customFormat="1" x14ac:dyDescent="0.25">
      <c r="A7" s="6">
        <v>260513000000000</v>
      </c>
      <c r="B7" s="7">
        <v>911</v>
      </c>
      <c r="C7" s="7">
        <v>8170</v>
      </c>
      <c r="D7" s="7" t="s">
        <v>16</v>
      </c>
      <c r="E7" s="7" t="s">
        <v>186</v>
      </c>
      <c r="F7" s="7">
        <v>5.92</v>
      </c>
      <c r="G7" s="7">
        <v>1</v>
      </c>
      <c r="H7" s="7" t="s">
        <v>187</v>
      </c>
      <c r="I7" s="7">
        <v>5.91</v>
      </c>
      <c r="J7" s="7">
        <v>140</v>
      </c>
      <c r="K7" s="7">
        <v>0.266883117</v>
      </c>
      <c r="N7" s="7">
        <v>827.4</v>
      </c>
      <c r="O7" s="7" t="b">
        <v>1</v>
      </c>
      <c r="P7" s="7" t="s">
        <v>19</v>
      </c>
    </row>
    <row r="8" spans="1:31" s="7" customFormat="1" x14ac:dyDescent="0.25">
      <c r="A8" s="6">
        <v>260512000000000</v>
      </c>
      <c r="B8" s="7">
        <v>911</v>
      </c>
      <c r="C8" s="7">
        <v>8170</v>
      </c>
      <c r="D8" s="7" t="s">
        <v>16</v>
      </c>
      <c r="E8" s="7" t="s">
        <v>188</v>
      </c>
      <c r="F8" s="7">
        <v>5.98</v>
      </c>
      <c r="G8" s="7">
        <v>1</v>
      </c>
      <c r="H8" s="7" t="s">
        <v>189</v>
      </c>
      <c r="I8" s="7">
        <v>5.95</v>
      </c>
      <c r="J8" s="7">
        <v>69</v>
      </c>
      <c r="K8" s="7">
        <v>0.11688311699999999</v>
      </c>
      <c r="N8" s="7">
        <v>410.55</v>
      </c>
      <c r="O8" s="7" t="b">
        <v>1</v>
      </c>
      <c r="P8" s="7" t="s">
        <v>19</v>
      </c>
    </row>
    <row r="9" spans="1:31" s="7" customFormat="1" x14ac:dyDescent="0.25">
      <c r="A9" s="6">
        <v>260511000000000</v>
      </c>
      <c r="B9" s="7">
        <v>911</v>
      </c>
      <c r="C9" s="7">
        <v>8170</v>
      </c>
      <c r="D9" s="7" t="s">
        <v>16</v>
      </c>
      <c r="E9" s="7" t="s">
        <v>190</v>
      </c>
      <c r="F9" s="7">
        <v>6.05</v>
      </c>
      <c r="G9" s="7">
        <v>1</v>
      </c>
      <c r="H9" s="7" t="s">
        <v>191</v>
      </c>
      <c r="I9" s="7">
        <v>6.04</v>
      </c>
      <c r="J9" s="7">
        <v>77</v>
      </c>
      <c r="K9" s="7">
        <v>0.11688311699999999</v>
      </c>
      <c r="N9" s="7">
        <v>465.08</v>
      </c>
      <c r="O9" s="7" t="b">
        <v>1</v>
      </c>
      <c r="P9" s="7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F7B1-9463-46DF-9A05-8DBB8E6E4435}">
  <dimension ref="A1:AE10"/>
  <sheetViews>
    <sheetView topLeftCell="J1" workbookViewId="0">
      <selection activeCell="J1" sqref="A1:XFD1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7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9" customFormat="1" x14ac:dyDescent="0.25">
      <c r="A2" s="8">
        <v>260521000000000</v>
      </c>
      <c r="B2" s="9">
        <v>917</v>
      </c>
      <c r="C2" s="9">
        <v>4200</v>
      </c>
      <c r="D2" s="9" t="s">
        <v>16</v>
      </c>
      <c r="E2" s="9" t="s">
        <v>192</v>
      </c>
      <c r="F2" s="9">
        <v>114.9</v>
      </c>
      <c r="G2" s="9">
        <v>1</v>
      </c>
      <c r="H2" s="9" t="s">
        <v>193</v>
      </c>
      <c r="J2" s="9">
        <v>1</v>
      </c>
      <c r="K2" s="9">
        <v>0.10204081600000001</v>
      </c>
      <c r="N2" s="9">
        <v>0</v>
      </c>
      <c r="O2" s="9" t="b">
        <v>0</v>
      </c>
      <c r="P2" s="9" t="s">
        <v>19</v>
      </c>
      <c r="W2" s="9">
        <v>130.63999999999999</v>
      </c>
      <c r="X2" s="9">
        <v>113</v>
      </c>
      <c r="Y2" s="9">
        <f>((W2-X2)/2)+X2</f>
        <v>121.82</v>
      </c>
      <c r="Z2" s="9">
        <f>W2-X2</f>
        <v>17.639999999999986</v>
      </c>
      <c r="AA2" s="9">
        <f>Z2/4</f>
        <v>4.4099999999999966</v>
      </c>
      <c r="AB2" s="9">
        <f>X2+AA2</f>
        <v>117.41</v>
      </c>
      <c r="AC2" s="9">
        <f>X2+(AA2*2)</f>
        <v>121.82</v>
      </c>
      <c r="AD2" s="9">
        <f>Y2+AA2</f>
        <v>126.22999999999999</v>
      </c>
      <c r="AE2" s="9">
        <f>W2</f>
        <v>130.63999999999999</v>
      </c>
    </row>
    <row r="3" spans="1:31" s="9" customFormat="1" x14ac:dyDescent="0.25">
      <c r="A3" s="8">
        <v>260520000000000</v>
      </c>
      <c r="B3" s="9">
        <v>917</v>
      </c>
      <c r="C3" s="9">
        <v>4200</v>
      </c>
      <c r="D3" s="9" t="s">
        <v>16</v>
      </c>
      <c r="E3" s="9" t="s">
        <v>194</v>
      </c>
      <c r="F3" s="9">
        <v>115.2</v>
      </c>
      <c r="G3" s="9">
        <v>1</v>
      </c>
      <c r="H3" s="9" t="s">
        <v>195</v>
      </c>
      <c r="I3" s="9">
        <v>116.3</v>
      </c>
      <c r="J3" s="9">
        <v>1</v>
      </c>
      <c r="K3" s="9">
        <v>0.10204081600000001</v>
      </c>
      <c r="N3" s="9">
        <v>116.3</v>
      </c>
      <c r="O3" s="9" t="b">
        <v>1</v>
      </c>
      <c r="P3" s="9" t="s">
        <v>19</v>
      </c>
      <c r="R3" s="9">
        <f>SUM(J3:J10)</f>
        <v>17</v>
      </c>
      <c r="T3" s="9">
        <f>SUM(N3:N10)</f>
        <v>1964.6</v>
      </c>
      <c r="V3" s="9">
        <f>T3/R3</f>
        <v>115.56470588235294</v>
      </c>
    </row>
    <row r="4" spans="1:31" s="9" customFormat="1" x14ac:dyDescent="0.25">
      <c r="A4" s="8">
        <v>260519000000000</v>
      </c>
      <c r="B4" s="9">
        <v>917</v>
      </c>
      <c r="C4" s="9">
        <v>4200</v>
      </c>
      <c r="D4" s="9" t="s">
        <v>16</v>
      </c>
      <c r="E4" s="9" t="s">
        <v>196</v>
      </c>
      <c r="F4" s="9">
        <v>116.2</v>
      </c>
      <c r="G4" s="9">
        <v>1</v>
      </c>
      <c r="H4" s="9" t="s">
        <v>197</v>
      </c>
      <c r="I4" s="9">
        <v>115.7</v>
      </c>
      <c r="J4" s="9">
        <v>2</v>
      </c>
      <c r="K4" s="9">
        <v>0.10204081600000001</v>
      </c>
      <c r="N4" s="9">
        <v>231.4</v>
      </c>
      <c r="O4" s="9" t="b">
        <v>1</v>
      </c>
      <c r="P4" s="9" t="s">
        <v>19</v>
      </c>
    </row>
    <row r="5" spans="1:31" s="9" customFormat="1" x14ac:dyDescent="0.25">
      <c r="A5" s="8">
        <v>260518000000000</v>
      </c>
      <c r="B5" s="9">
        <v>917</v>
      </c>
      <c r="C5" s="9">
        <v>4200</v>
      </c>
      <c r="D5" s="9" t="s">
        <v>16</v>
      </c>
      <c r="E5" s="9" t="s">
        <v>198</v>
      </c>
      <c r="F5" s="9">
        <v>115.4</v>
      </c>
      <c r="G5" s="9">
        <v>1</v>
      </c>
      <c r="H5" s="9" t="s">
        <v>199</v>
      </c>
      <c r="I5" s="9">
        <v>115.3</v>
      </c>
      <c r="J5" s="9">
        <v>2</v>
      </c>
      <c r="K5" s="9">
        <v>0.10204081600000001</v>
      </c>
      <c r="N5" s="9">
        <v>230.6</v>
      </c>
      <c r="O5" s="9" t="b">
        <v>1</v>
      </c>
      <c r="P5" s="9" t="s">
        <v>19</v>
      </c>
    </row>
    <row r="6" spans="1:31" s="9" customFormat="1" x14ac:dyDescent="0.25">
      <c r="A6" s="8">
        <v>260517000000000</v>
      </c>
      <c r="B6" s="9">
        <v>917</v>
      </c>
      <c r="C6" s="9">
        <v>4200</v>
      </c>
      <c r="D6" s="9" t="s">
        <v>16</v>
      </c>
      <c r="E6" s="9" t="s">
        <v>200</v>
      </c>
      <c r="F6" s="9">
        <v>114.3</v>
      </c>
      <c r="G6" s="9">
        <v>1</v>
      </c>
      <c r="H6" s="9" t="s">
        <v>201</v>
      </c>
      <c r="I6" s="9">
        <v>114.4</v>
      </c>
      <c r="J6" s="9">
        <v>2</v>
      </c>
      <c r="K6" s="9">
        <v>0.10204081600000001</v>
      </c>
      <c r="N6" s="9">
        <v>228.8</v>
      </c>
      <c r="O6" s="9" t="b">
        <v>1</v>
      </c>
      <c r="P6" s="9" t="s">
        <v>19</v>
      </c>
    </row>
    <row r="7" spans="1:31" s="9" customFormat="1" x14ac:dyDescent="0.25">
      <c r="A7" s="8">
        <v>260514000000000</v>
      </c>
      <c r="B7" s="9">
        <v>917</v>
      </c>
      <c r="C7" s="9">
        <v>4200</v>
      </c>
      <c r="D7" s="9" t="s">
        <v>16</v>
      </c>
      <c r="E7" s="9" t="s">
        <v>202</v>
      </c>
      <c r="F7" s="9">
        <v>115.8</v>
      </c>
      <c r="G7" s="9">
        <v>1</v>
      </c>
      <c r="H7" s="9" t="s">
        <v>203</v>
      </c>
      <c r="I7" s="9">
        <v>115.5</v>
      </c>
      <c r="J7" s="9">
        <v>2</v>
      </c>
      <c r="K7" s="9">
        <v>0.10204081600000001</v>
      </c>
      <c r="N7" s="9">
        <v>231</v>
      </c>
      <c r="O7" s="9" t="b">
        <v>1</v>
      </c>
      <c r="P7" s="9" t="s">
        <v>19</v>
      </c>
    </row>
    <row r="8" spans="1:31" s="9" customFormat="1" x14ac:dyDescent="0.25">
      <c r="A8" s="8">
        <v>260513000000000</v>
      </c>
      <c r="B8" s="9">
        <v>917</v>
      </c>
      <c r="C8" s="9">
        <v>4200</v>
      </c>
      <c r="D8" s="9" t="s">
        <v>16</v>
      </c>
      <c r="E8" s="9" t="s">
        <v>204</v>
      </c>
      <c r="F8" s="9">
        <v>114.1</v>
      </c>
      <c r="G8" s="9">
        <v>1</v>
      </c>
      <c r="H8" s="9" t="s">
        <v>205</v>
      </c>
      <c r="I8" s="9">
        <v>113.9</v>
      </c>
      <c r="J8" s="9">
        <v>2</v>
      </c>
      <c r="K8" s="9">
        <v>0.10204081600000001</v>
      </c>
      <c r="N8" s="9">
        <v>227.8</v>
      </c>
      <c r="O8" s="9" t="b">
        <v>1</v>
      </c>
      <c r="P8" s="9" t="s">
        <v>19</v>
      </c>
    </row>
    <row r="9" spans="1:31" s="9" customFormat="1" x14ac:dyDescent="0.25">
      <c r="A9" s="8">
        <v>260512000000000</v>
      </c>
      <c r="B9" s="9">
        <v>917</v>
      </c>
      <c r="C9" s="9">
        <v>4200</v>
      </c>
      <c r="D9" s="9" t="s">
        <v>16</v>
      </c>
      <c r="E9" s="9" t="s">
        <v>206</v>
      </c>
      <c r="F9" s="9">
        <v>116.3</v>
      </c>
      <c r="G9" s="9">
        <v>1</v>
      </c>
      <c r="H9" s="9" t="s">
        <v>207</v>
      </c>
      <c r="I9" s="9">
        <v>115.7</v>
      </c>
      <c r="J9" s="9">
        <v>3</v>
      </c>
      <c r="K9" s="9">
        <v>0.10204081600000001</v>
      </c>
      <c r="N9" s="9">
        <v>347.1</v>
      </c>
      <c r="O9" s="9" t="b">
        <v>1</v>
      </c>
      <c r="P9" s="9" t="s">
        <v>19</v>
      </c>
    </row>
    <row r="10" spans="1:31" s="9" customFormat="1" x14ac:dyDescent="0.25">
      <c r="A10" s="8">
        <v>260511000000000</v>
      </c>
      <c r="B10" s="9">
        <v>917</v>
      </c>
      <c r="C10" s="9">
        <v>4200</v>
      </c>
      <c r="D10" s="9" t="s">
        <v>16</v>
      </c>
      <c r="E10" s="9" t="s">
        <v>208</v>
      </c>
      <c r="F10" s="9">
        <v>117.2</v>
      </c>
      <c r="G10" s="9">
        <v>1</v>
      </c>
      <c r="H10" s="9" t="s">
        <v>209</v>
      </c>
      <c r="I10" s="9">
        <v>117.2</v>
      </c>
      <c r="J10" s="9">
        <v>3</v>
      </c>
      <c r="K10" s="9">
        <v>0.10204081600000001</v>
      </c>
      <c r="N10" s="9">
        <v>351.6</v>
      </c>
      <c r="O10" s="9" t="b">
        <v>1</v>
      </c>
      <c r="P10" s="9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DDE2-E089-4304-829A-17322C892689}">
  <dimension ref="A1:AE10"/>
  <sheetViews>
    <sheetView topLeftCell="J1" workbookViewId="0">
      <selection activeCell="R15" sqref="R15"/>
    </sheetView>
  </sheetViews>
  <sheetFormatPr defaultRowHeight="15" x14ac:dyDescent="0.25"/>
  <cols>
    <col min="1" max="1" width="8.5703125" style="5" bestFit="1" customWidth="1"/>
    <col min="2" max="2" width="6" style="5" bestFit="1" customWidth="1"/>
    <col min="3" max="3" width="7.42578125" style="5" bestFit="1" customWidth="1"/>
    <col min="4" max="4" width="16.5703125" style="5" bestFit="1" customWidth="1"/>
    <col min="5" max="5" width="31.42578125" style="5" bestFit="1" customWidth="1"/>
    <col min="6" max="6" width="11.28515625" style="5" bestFit="1" customWidth="1"/>
    <col min="7" max="7" width="4.7109375" style="5" bestFit="1" customWidth="1"/>
    <col min="8" max="8" width="31.42578125" style="5" bestFit="1" customWidth="1"/>
    <col min="9" max="9" width="14.42578125" style="5" bestFit="1" customWidth="1"/>
    <col min="10" max="10" width="8.42578125" style="5" bestFit="1" customWidth="1"/>
    <col min="11" max="11" width="16" style="5" bestFit="1" customWidth="1"/>
    <col min="12" max="12" width="11.140625" style="5" bestFit="1" customWidth="1"/>
    <col min="13" max="13" width="7.7109375" style="5" bestFit="1" customWidth="1"/>
    <col min="14" max="14" width="7" style="5" bestFit="1" customWidth="1"/>
    <col min="15" max="15" width="6" style="5" bestFit="1" customWidth="1"/>
    <col min="16" max="16" width="16.28515625" style="5" bestFit="1" customWidth="1"/>
    <col min="17" max="17" width="19.140625" style="5" bestFit="1" customWidth="1"/>
    <col min="18" max="18" width="18.85546875" style="5" bestFit="1" customWidth="1"/>
    <col min="19" max="19" width="15.42578125" style="5" bestFit="1" customWidth="1"/>
    <col min="20" max="20" width="15.140625" style="5" bestFit="1" customWidth="1"/>
    <col min="21" max="22" width="11.42578125" style="5" bestFit="1" customWidth="1"/>
    <col min="23" max="23" width="6.28515625" style="5" bestFit="1" customWidth="1"/>
    <col min="24" max="24" width="6.140625" style="5" bestFit="1" customWidth="1"/>
    <col min="25" max="25" width="7" style="5" bestFit="1" customWidth="1"/>
    <col min="26" max="26" width="6.42578125" style="5" bestFit="1" customWidth="1"/>
    <col min="27" max="27" width="12.28515625" style="5" bestFit="1" customWidth="1"/>
    <col min="28" max="28" width="12.42578125" style="5" bestFit="1" customWidth="1"/>
    <col min="29" max="29" width="15.140625" style="5" bestFit="1" customWidth="1"/>
    <col min="30" max="30" width="13.28515625" style="5" bestFit="1" customWidth="1"/>
    <col min="31" max="31" width="14.42578125" style="5" bestFit="1" customWidth="1"/>
    <col min="32" max="16384" width="9.140625" style="5"/>
  </cols>
  <sheetData>
    <row r="1" spans="1:3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  <c r="V1" s="5" t="s">
        <v>233</v>
      </c>
      <c r="W1" s="5" t="s">
        <v>234</v>
      </c>
      <c r="X1" s="5" t="s">
        <v>235</v>
      </c>
      <c r="Y1" s="5" t="s">
        <v>236</v>
      </c>
      <c r="Z1" s="5" t="s">
        <v>242</v>
      </c>
      <c r="AA1" s="5" t="s">
        <v>241</v>
      </c>
      <c r="AB1" s="5" t="s">
        <v>237</v>
      </c>
      <c r="AC1" s="5" t="s">
        <v>238</v>
      </c>
      <c r="AD1" s="5" t="s">
        <v>239</v>
      </c>
      <c r="AE1" s="5" t="s">
        <v>240</v>
      </c>
    </row>
    <row r="2" spans="1:31" s="7" customFormat="1" x14ac:dyDescent="0.25">
      <c r="A2" s="6">
        <v>260521000000000</v>
      </c>
      <c r="B2" s="7">
        <v>904</v>
      </c>
      <c r="C2" s="7">
        <v>8240</v>
      </c>
      <c r="D2" s="7" t="s">
        <v>16</v>
      </c>
      <c r="E2" s="7" t="s">
        <v>210</v>
      </c>
      <c r="F2" s="7">
        <v>18.170000000000002</v>
      </c>
      <c r="G2" s="7">
        <v>1</v>
      </c>
      <c r="H2" s="7" t="s">
        <v>211</v>
      </c>
      <c r="J2" s="7">
        <v>7</v>
      </c>
      <c r="K2" s="7">
        <v>5.5882353000000003E-2</v>
      </c>
      <c r="N2" s="7">
        <v>0</v>
      </c>
      <c r="O2" s="7" t="b">
        <v>0</v>
      </c>
      <c r="P2" s="7" t="s">
        <v>19</v>
      </c>
      <c r="W2" s="7">
        <v>18.649999999999999</v>
      </c>
      <c r="X2" s="7">
        <v>18.100000000000001</v>
      </c>
      <c r="Y2" s="7">
        <f>((W2-X2)/2)+X2</f>
        <v>18.375</v>
      </c>
      <c r="Z2" s="7">
        <f>W2-X2</f>
        <v>0.54999999999999716</v>
      </c>
      <c r="AA2" s="7">
        <f>Z2/4</f>
        <v>0.13749999999999929</v>
      </c>
      <c r="AB2" s="7">
        <f>X2+AA2</f>
        <v>18.237500000000001</v>
      </c>
      <c r="AC2" s="7">
        <f>X2+(AA2*2)</f>
        <v>18.375</v>
      </c>
      <c r="AD2" s="7">
        <f>Y2+AA2</f>
        <v>18.512499999999999</v>
      </c>
      <c r="AE2" s="7">
        <f>W2</f>
        <v>18.649999999999999</v>
      </c>
    </row>
    <row r="3" spans="1:31" s="7" customFormat="1" x14ac:dyDescent="0.25">
      <c r="A3" s="6">
        <v>260520000000000</v>
      </c>
      <c r="B3" s="7">
        <v>904</v>
      </c>
      <c r="C3" s="7">
        <v>8240</v>
      </c>
      <c r="D3" s="7" t="s">
        <v>16</v>
      </c>
      <c r="E3" s="7" t="s">
        <v>212</v>
      </c>
      <c r="F3" s="7">
        <v>18.420000000000002</v>
      </c>
      <c r="G3" s="7">
        <v>1</v>
      </c>
      <c r="H3" s="7" t="s">
        <v>213</v>
      </c>
      <c r="I3" s="7">
        <v>18.28</v>
      </c>
      <c r="J3" s="7">
        <v>8</v>
      </c>
      <c r="K3" s="7">
        <v>5.5882353000000003E-2</v>
      </c>
      <c r="N3" s="7">
        <v>146.24</v>
      </c>
      <c r="O3" s="7" t="b">
        <v>1</v>
      </c>
      <c r="P3" s="7" t="s">
        <v>19</v>
      </c>
      <c r="R3" s="7">
        <f>SUM(J3:J10)</f>
        <v>77</v>
      </c>
      <c r="T3" s="7">
        <f>SUM(N3:N10)</f>
        <v>1419.19</v>
      </c>
      <c r="V3" s="7">
        <f>T3/R3</f>
        <v>18.431038961038961</v>
      </c>
    </row>
    <row r="4" spans="1:31" s="7" customFormat="1" x14ac:dyDescent="0.25">
      <c r="A4" s="6">
        <v>260519000000000</v>
      </c>
      <c r="B4" s="7">
        <v>904</v>
      </c>
      <c r="C4" s="7">
        <v>8240</v>
      </c>
      <c r="D4" s="7" t="s">
        <v>16</v>
      </c>
      <c r="E4" s="7" t="s">
        <v>214</v>
      </c>
      <c r="F4" s="7">
        <v>18.34</v>
      </c>
      <c r="G4" s="7">
        <v>1</v>
      </c>
      <c r="H4" s="7" t="s">
        <v>215</v>
      </c>
      <c r="I4" s="7">
        <v>18.350000000000001</v>
      </c>
      <c r="J4" s="7">
        <v>8</v>
      </c>
      <c r="K4" s="7">
        <v>5.5882353000000003E-2</v>
      </c>
      <c r="N4" s="7">
        <v>146.80000000000001</v>
      </c>
      <c r="O4" s="7" t="b">
        <v>1</v>
      </c>
      <c r="P4" s="7" t="s">
        <v>19</v>
      </c>
    </row>
    <row r="5" spans="1:31" s="7" customFormat="1" x14ac:dyDescent="0.25">
      <c r="A5" s="6">
        <v>260518000000000</v>
      </c>
      <c r="B5" s="7">
        <v>904</v>
      </c>
      <c r="C5" s="7">
        <v>8240</v>
      </c>
      <c r="D5" s="7" t="s">
        <v>16</v>
      </c>
      <c r="E5" s="7" t="s">
        <v>216</v>
      </c>
      <c r="F5" s="7">
        <v>18.29</v>
      </c>
      <c r="G5" s="7">
        <v>1</v>
      </c>
      <c r="H5" s="7" t="s">
        <v>217</v>
      </c>
      <c r="I5" s="7">
        <v>18.27</v>
      </c>
      <c r="J5" s="7">
        <v>9</v>
      </c>
      <c r="K5" s="7">
        <v>5.5882353000000003E-2</v>
      </c>
      <c r="N5" s="7">
        <v>164.43</v>
      </c>
      <c r="O5" s="7" t="b">
        <v>1</v>
      </c>
      <c r="P5" s="7" t="s">
        <v>19</v>
      </c>
    </row>
    <row r="6" spans="1:31" s="7" customFormat="1" x14ac:dyDescent="0.25">
      <c r="A6" s="6">
        <v>260517000000000</v>
      </c>
      <c r="B6" s="7">
        <v>904</v>
      </c>
      <c r="C6" s="7">
        <v>8240</v>
      </c>
      <c r="D6" s="7" t="s">
        <v>16</v>
      </c>
      <c r="E6" s="7" t="s">
        <v>218</v>
      </c>
      <c r="F6" s="7">
        <v>18.55</v>
      </c>
      <c r="G6" s="7">
        <v>1</v>
      </c>
      <c r="H6" s="7" t="s">
        <v>219</v>
      </c>
      <c r="I6" s="7">
        <v>18.57</v>
      </c>
      <c r="J6" s="7">
        <v>9</v>
      </c>
      <c r="K6" s="7">
        <v>5.5882353000000003E-2</v>
      </c>
      <c r="N6" s="7">
        <v>167.13</v>
      </c>
      <c r="O6" s="7" t="b">
        <v>1</v>
      </c>
      <c r="P6" s="7" t="s">
        <v>19</v>
      </c>
    </row>
    <row r="7" spans="1:31" s="7" customFormat="1" x14ac:dyDescent="0.25">
      <c r="A7" s="6">
        <v>260514000000000</v>
      </c>
      <c r="B7" s="7">
        <v>904</v>
      </c>
      <c r="C7" s="7">
        <v>8240</v>
      </c>
      <c r="D7" s="7" t="s">
        <v>16</v>
      </c>
      <c r="E7" s="7" t="s">
        <v>220</v>
      </c>
      <c r="F7" s="7">
        <v>18.600000000000001</v>
      </c>
      <c r="G7" s="7">
        <v>1</v>
      </c>
      <c r="H7" s="7" t="s">
        <v>221</v>
      </c>
      <c r="I7" s="7">
        <v>18.54</v>
      </c>
      <c r="J7" s="7">
        <v>10</v>
      </c>
      <c r="K7" s="7">
        <v>5.5882353000000003E-2</v>
      </c>
      <c r="N7" s="7">
        <v>185.4</v>
      </c>
      <c r="O7" s="7" t="b">
        <v>1</v>
      </c>
      <c r="P7" s="7" t="s">
        <v>19</v>
      </c>
    </row>
    <row r="8" spans="1:31" s="7" customFormat="1" x14ac:dyDescent="0.25">
      <c r="A8" s="6">
        <v>260513000000000</v>
      </c>
      <c r="B8" s="7">
        <v>904</v>
      </c>
      <c r="C8" s="7">
        <v>8240</v>
      </c>
      <c r="D8" s="7" t="s">
        <v>16</v>
      </c>
      <c r="E8" s="7" t="s">
        <v>222</v>
      </c>
      <c r="F8" s="7">
        <v>18.670000000000002</v>
      </c>
      <c r="G8" s="7">
        <v>1</v>
      </c>
      <c r="H8" s="7" t="s">
        <v>223</v>
      </c>
      <c r="I8" s="7">
        <v>18.670000000000002</v>
      </c>
      <c r="J8" s="7">
        <v>10</v>
      </c>
      <c r="K8" s="7">
        <v>5.5882353000000003E-2</v>
      </c>
      <c r="N8" s="7">
        <v>186.7</v>
      </c>
      <c r="O8" s="7" t="b">
        <v>1</v>
      </c>
      <c r="P8" s="7" t="s">
        <v>19</v>
      </c>
    </row>
    <row r="9" spans="1:31" s="7" customFormat="1" x14ac:dyDescent="0.25">
      <c r="A9" s="6">
        <v>260512000000000</v>
      </c>
      <c r="B9" s="7">
        <v>904</v>
      </c>
      <c r="C9" s="7">
        <v>8240</v>
      </c>
      <c r="D9" s="7" t="s">
        <v>16</v>
      </c>
      <c r="E9" s="7" t="s">
        <v>224</v>
      </c>
      <c r="G9" s="7">
        <v>1</v>
      </c>
      <c r="H9" s="7" t="s">
        <v>225</v>
      </c>
      <c r="I9" s="7">
        <v>18.149999999999999</v>
      </c>
      <c r="J9" s="7">
        <v>11</v>
      </c>
      <c r="K9" s="7">
        <v>5.5882353000000003E-2</v>
      </c>
      <c r="N9" s="7">
        <v>199.65</v>
      </c>
      <c r="O9" s="7" t="b">
        <v>1</v>
      </c>
      <c r="P9" s="7" t="s">
        <v>19</v>
      </c>
    </row>
    <row r="10" spans="1:31" s="7" customFormat="1" x14ac:dyDescent="0.25">
      <c r="A10" s="6">
        <v>260511000000000</v>
      </c>
      <c r="B10" s="7">
        <v>904</v>
      </c>
      <c r="C10" s="7">
        <v>8240</v>
      </c>
      <c r="D10" s="7" t="s">
        <v>16</v>
      </c>
      <c r="E10" s="7" t="s">
        <v>226</v>
      </c>
      <c r="F10" s="7">
        <v>18.57</v>
      </c>
      <c r="G10" s="7">
        <v>1</v>
      </c>
      <c r="H10" s="7" t="s">
        <v>227</v>
      </c>
      <c r="I10" s="7">
        <v>18.57</v>
      </c>
      <c r="J10" s="7">
        <v>12</v>
      </c>
      <c r="K10" s="7">
        <v>5.5882353000000003E-2</v>
      </c>
      <c r="N10" s="7">
        <v>222.84</v>
      </c>
      <c r="O10" s="7" t="b">
        <v>1</v>
      </c>
      <c r="P10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transaction-data Aljad bears El</vt:lpstr>
      <vt:lpstr>901</vt:lpstr>
      <vt:lpstr>907</vt:lpstr>
      <vt:lpstr>900</vt:lpstr>
      <vt:lpstr>897</vt:lpstr>
      <vt:lpstr>920</vt:lpstr>
      <vt:lpstr>936</vt:lpstr>
      <vt:lpstr>895</vt:lpstr>
      <vt:lpstr>919</vt:lpstr>
      <vt:lpstr>925</vt:lpstr>
      <vt:lpstr>933</vt:lpstr>
      <vt:lpstr>896</vt:lpstr>
      <vt:lpstr>927</vt:lpstr>
      <vt:lpstr>910</vt:lpstr>
      <vt:lpstr>914</vt:lpstr>
      <vt:lpstr>911</vt:lpstr>
      <vt:lpstr>917</vt:lpstr>
      <vt:lpstr>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Terante</dc:creator>
  <cp:lastModifiedBy>BILLY  TERANTE</cp:lastModifiedBy>
  <dcterms:created xsi:type="dcterms:W3CDTF">2026-05-27T10:12:43Z</dcterms:created>
  <dcterms:modified xsi:type="dcterms:W3CDTF">2026-05-28T12:28:40Z</dcterms:modified>
</cp:coreProperties>
</file>